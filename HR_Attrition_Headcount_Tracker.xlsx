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Intellea\projects\Project 4\"/>
    </mc:Choice>
  </mc:AlternateContent>
  <xr:revisionPtr revIDLastSave="0" documentId="13_ncr:1_{26C976B0-DA63-4C03-B2DC-71DAF1A29B1F}" xr6:coauthVersionLast="47" xr6:coauthVersionMax="47" xr10:uidLastSave="{00000000-0000-0000-0000-000000000000}"/>
  <bookViews>
    <workbookView xWindow="-96" yWindow="0" windowWidth="11712" windowHeight="12336" tabRatio="500" firstSheet="5" activeTab="7" xr2:uid="{00000000-000D-0000-FFFF-FFFF00000000}"/>
  </bookViews>
  <sheets>
    <sheet name="Sheet1 - Dataset" sheetId="1" r:id="rId1"/>
    <sheet name="Sheet2 - Q1 Answer" sheetId="2" r:id="rId2"/>
    <sheet name="Sheet3 - Q2 Answer" sheetId="3" r:id="rId3"/>
    <sheet name="Sheet4 - Q3 Answer" sheetId="4" r:id="rId4"/>
    <sheet name="Sheet5 - Q4 Answer" sheetId="5" r:id="rId5"/>
    <sheet name="Sheet6 - Q5 Answer" sheetId="6" r:id="rId6"/>
    <sheet name="Sheet7 - Q6 Answer" sheetId="7" r:id="rId7"/>
    <sheet name="Sheet8 - Q7 Answer" sheetId="8" r:id="rId8"/>
    <sheet name="Sheet9 - Q8 Answer" sheetId="9" r:id="rId9"/>
    <sheet name="Sheet10 - Q9 Dashboard" sheetId="10" r:id="rId10"/>
  </sheets>
  <definedNames>
    <definedName name="NativeTimeline_Join_Date__Date">#N/A</definedName>
    <definedName name="Slicer_Region">#N/A</definedName>
  </definedNames>
  <calcPr calcId="191029" iterateDelta="1E-4"/>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9" l="1"/>
  <c r="C7" i="7"/>
  <c r="C8" i="7"/>
  <c r="C9" i="7"/>
  <c r="C6" i="7"/>
  <c r="F4" i="4"/>
  <c r="F5" i="4"/>
  <c r="F6" i="4"/>
  <c r="F7" i="4"/>
  <c r="F8" i="4"/>
  <c r="F9" i="4"/>
  <c r="F10" i="4"/>
  <c r="F11" i="4"/>
  <c r="F12" i="4"/>
  <c r="F13" i="4"/>
  <c r="F14" i="4"/>
  <c r="F15" i="4"/>
  <c r="F16" i="4"/>
  <c r="F17" i="4"/>
  <c r="F18" i="4"/>
  <c r="F19" i="4"/>
  <c r="F20" i="4"/>
  <c r="F21" i="4"/>
  <c r="B5" i="4"/>
  <c r="B6" i="4"/>
  <c r="B7" i="4"/>
  <c r="B8" i="4"/>
  <c r="B9" i="4"/>
  <c r="B10" i="4"/>
  <c r="B11" i="4"/>
  <c r="B12" i="4"/>
  <c r="B13" i="4"/>
  <c r="B14" i="4"/>
  <c r="B15" i="4"/>
  <c r="B16" i="4"/>
  <c r="B17" i="4"/>
  <c r="B18" i="4"/>
  <c r="B19" i="4"/>
  <c r="B20" i="4"/>
  <c r="B21" i="4"/>
  <c r="B4" i="4"/>
  <c r="B4" i="3"/>
  <c r="B5" i="3"/>
  <c r="B6" i="3"/>
  <c r="B7" i="3"/>
  <c r="B8" i="3"/>
  <c r="B9" i="3"/>
  <c r="B10" i="3"/>
  <c r="B11" i="3"/>
  <c r="B12" i="3"/>
  <c r="B13" i="3"/>
  <c r="B14" i="3"/>
  <c r="B15" i="3"/>
  <c r="B16" i="3"/>
  <c r="B17" i="3"/>
  <c r="B18" i="3"/>
  <c r="B19" i="3"/>
  <c r="B20" i="3"/>
  <c r="B21" i="3"/>
  <c r="J4" i="2"/>
  <c r="J5" i="2"/>
  <c r="J6" i="2"/>
  <c r="J7" i="2"/>
  <c r="J8" i="2"/>
  <c r="J9" i="2"/>
  <c r="J10" i="2"/>
  <c r="J11" i="2"/>
  <c r="J12" i="2"/>
  <c r="J13" i="2"/>
  <c r="J14" i="2"/>
  <c r="J15" i="2"/>
  <c r="J16" i="2"/>
  <c r="J17" i="2"/>
  <c r="J18" i="2"/>
  <c r="J19" i="2"/>
  <c r="J20" i="2"/>
  <c r="J21" i="2"/>
  <c r="F4" i="2"/>
  <c r="F5" i="2"/>
  <c r="F6" i="2"/>
  <c r="F7" i="2"/>
  <c r="F8" i="2"/>
  <c r="F9" i="2"/>
  <c r="F10" i="2"/>
  <c r="F11" i="2"/>
  <c r="F12" i="2"/>
  <c r="F13" i="2"/>
  <c r="F14" i="2"/>
  <c r="F15" i="2"/>
  <c r="F16" i="2"/>
  <c r="F17" i="2"/>
  <c r="F18" i="2"/>
  <c r="F19" i="2"/>
  <c r="F20" i="2"/>
  <c r="F21" i="2"/>
  <c r="E4" i="2"/>
  <c r="E5" i="2"/>
  <c r="E6" i="2"/>
  <c r="E7" i="2"/>
  <c r="E8" i="2"/>
  <c r="E9" i="2"/>
  <c r="E10" i="2"/>
  <c r="E11" i="2"/>
  <c r="E12" i="2"/>
  <c r="E13" i="2"/>
  <c r="E14" i="2"/>
  <c r="E15" i="2"/>
  <c r="E16" i="2"/>
  <c r="E17" i="2"/>
  <c r="E18" i="2"/>
  <c r="E19" i="2"/>
  <c r="E20" i="2"/>
  <c r="E21" i="2"/>
  <c r="E4" i="3"/>
  <c r="E5" i="3"/>
  <c r="E6" i="3"/>
  <c r="E7" i="3"/>
  <c r="E8" i="3"/>
  <c r="E9" i="3"/>
  <c r="E10" i="3"/>
  <c r="E11" i="3"/>
  <c r="E12" i="3"/>
  <c r="E13" i="3"/>
  <c r="E14" i="3"/>
  <c r="E15" i="3"/>
  <c r="E16" i="3"/>
  <c r="E17" i="3"/>
  <c r="E18" i="3"/>
  <c r="E19" i="3"/>
  <c r="E20" i="3"/>
  <c r="E21" i="3"/>
  <c r="G5" i="3"/>
  <c r="G6" i="3"/>
  <c r="G10" i="3"/>
  <c r="G11" i="3"/>
  <c r="G12" i="3"/>
  <c r="G13" i="3"/>
  <c r="G14" i="3"/>
  <c r="G15" i="3"/>
  <c r="G16" i="3"/>
  <c r="G17" i="3"/>
  <c r="G18" i="3"/>
  <c r="G19" i="3"/>
  <c r="G20" i="3"/>
  <c r="G21" i="3"/>
  <c r="B15" i="5"/>
  <c r="E5" i="4"/>
  <c r="E6" i="4"/>
  <c r="C4" i="4"/>
  <c r="E4" i="4" s="1"/>
  <c r="D5" i="4"/>
  <c r="D6" i="4"/>
  <c r="D7" i="4"/>
  <c r="D8" i="4"/>
  <c r="D9" i="4"/>
  <c r="D10" i="4"/>
  <c r="D11" i="4"/>
  <c r="D12" i="4"/>
  <c r="D13" i="4"/>
  <c r="D14" i="4"/>
  <c r="D15" i="4"/>
  <c r="D16" i="4"/>
  <c r="D17" i="4"/>
  <c r="D18" i="4"/>
  <c r="D19" i="4"/>
  <c r="D20" i="4"/>
  <c r="D21" i="4"/>
  <c r="D4" i="4"/>
  <c r="C5" i="4"/>
  <c r="C6" i="4"/>
  <c r="C7" i="4"/>
  <c r="E7" i="4" s="1"/>
  <c r="C8" i="4"/>
  <c r="E8" i="4" s="1"/>
  <c r="C9" i="4"/>
  <c r="E9" i="4" s="1"/>
  <c r="C10" i="4"/>
  <c r="E10" i="4" s="1"/>
  <c r="C11" i="4"/>
  <c r="E11" i="4" s="1"/>
  <c r="C12" i="4"/>
  <c r="E12" i="4" s="1"/>
  <c r="C13" i="4"/>
  <c r="E13" i="4" s="1"/>
  <c r="C14" i="4"/>
  <c r="E14" i="4" s="1"/>
  <c r="C15" i="4"/>
  <c r="E15" i="4" s="1"/>
  <c r="C16" i="4"/>
  <c r="E16" i="4" s="1"/>
  <c r="C17" i="4"/>
  <c r="E17" i="4" s="1"/>
  <c r="C18" i="4"/>
  <c r="E18" i="4" s="1"/>
  <c r="C19" i="4"/>
  <c r="E19" i="4" s="1"/>
  <c r="C20" i="4"/>
  <c r="E20" i="4" s="1"/>
  <c r="C21" i="4"/>
  <c r="E21" i="4" s="1"/>
  <c r="A5" i="4"/>
  <c r="A6" i="4"/>
  <c r="A7" i="4"/>
  <c r="A8" i="4"/>
  <c r="A9" i="4"/>
  <c r="A10" i="4"/>
  <c r="A11" i="4"/>
  <c r="A12" i="4"/>
  <c r="A13" i="4"/>
  <c r="A14" i="4"/>
  <c r="A15" i="4"/>
  <c r="A16" i="4"/>
  <c r="A17" i="4"/>
  <c r="A18" i="4"/>
  <c r="A19" i="4"/>
  <c r="A20" i="4"/>
  <c r="A21" i="4"/>
  <c r="A4" i="4"/>
  <c r="A4" i="3"/>
  <c r="A5" i="3"/>
  <c r="D5" i="3"/>
  <c r="D6" i="3"/>
  <c r="D7" i="3"/>
  <c r="D8" i="3"/>
  <c r="D9" i="3"/>
  <c r="D10" i="3"/>
  <c r="D11" i="3"/>
  <c r="D12" i="3"/>
  <c r="D13" i="3"/>
  <c r="D14" i="3"/>
  <c r="D15" i="3"/>
  <c r="D16" i="3"/>
  <c r="D17" i="3"/>
  <c r="D18" i="3"/>
  <c r="D19" i="3"/>
  <c r="D20" i="3"/>
  <c r="D21" i="3"/>
  <c r="D4" i="3"/>
  <c r="C5" i="3"/>
  <c r="C6" i="3"/>
  <c r="C7" i="3"/>
  <c r="C8" i="3"/>
  <c r="C9" i="3"/>
  <c r="C10" i="3"/>
  <c r="C11" i="3"/>
  <c r="C12" i="3"/>
  <c r="C13" i="3"/>
  <c r="C14" i="3"/>
  <c r="C15" i="3"/>
  <c r="C16" i="3"/>
  <c r="C17" i="3"/>
  <c r="C18" i="3"/>
  <c r="C19" i="3"/>
  <c r="C20" i="3"/>
  <c r="C21" i="3"/>
  <c r="C4" i="3"/>
  <c r="A6" i="3"/>
  <c r="A7" i="3"/>
  <c r="A8" i="3"/>
  <c r="A9" i="3"/>
  <c r="A10" i="3"/>
  <c r="A11" i="3"/>
  <c r="A12" i="3"/>
  <c r="A13" i="3"/>
  <c r="A14" i="3"/>
  <c r="A15" i="3"/>
  <c r="A16" i="3"/>
  <c r="A17" i="3"/>
  <c r="A18" i="3"/>
  <c r="A19" i="3"/>
  <c r="A20" i="3"/>
  <c r="A21" i="3"/>
  <c r="H5" i="2"/>
  <c r="H6" i="2"/>
  <c r="H7" i="2"/>
  <c r="H8" i="2"/>
  <c r="H9" i="2"/>
  <c r="H10" i="2"/>
  <c r="H11" i="2"/>
  <c r="H12" i="2"/>
  <c r="H13" i="2"/>
  <c r="H14" i="2"/>
  <c r="H15" i="2"/>
  <c r="H16" i="2"/>
  <c r="H17" i="2"/>
  <c r="H18" i="2"/>
  <c r="H19" i="2"/>
  <c r="H20" i="2"/>
  <c r="H21" i="2"/>
  <c r="G5" i="2"/>
  <c r="G6" i="2"/>
  <c r="G7" i="2"/>
  <c r="G8" i="2"/>
  <c r="G9" i="2"/>
  <c r="G10" i="2"/>
  <c r="G11" i="2"/>
  <c r="G12" i="2"/>
  <c r="G13" i="2"/>
  <c r="G14" i="2"/>
  <c r="G15" i="2"/>
  <c r="G16" i="2"/>
  <c r="G17" i="2"/>
  <c r="G18" i="2"/>
  <c r="G19" i="2"/>
  <c r="G20" i="2"/>
  <c r="G21" i="2"/>
  <c r="D5" i="2"/>
  <c r="D6" i="2"/>
  <c r="D7" i="2"/>
  <c r="D8" i="2"/>
  <c r="D9" i="2"/>
  <c r="D10" i="2"/>
  <c r="D11" i="2"/>
  <c r="D12" i="2"/>
  <c r="D13" i="2"/>
  <c r="D14" i="2"/>
  <c r="D15" i="2"/>
  <c r="D16" i="2"/>
  <c r="D17" i="2"/>
  <c r="D18" i="2"/>
  <c r="D19" i="2"/>
  <c r="D20" i="2"/>
  <c r="D21" i="2"/>
  <c r="C5" i="2"/>
  <c r="C6" i="2"/>
  <c r="C7" i="2"/>
  <c r="C8" i="2"/>
  <c r="C9" i="2"/>
  <c r="C10" i="2"/>
  <c r="C11" i="2"/>
  <c r="C12" i="2"/>
  <c r="C13" i="2"/>
  <c r="C14" i="2"/>
  <c r="C15" i="2"/>
  <c r="C16" i="2"/>
  <c r="C17" i="2"/>
  <c r="C18" i="2"/>
  <c r="C19" i="2"/>
  <c r="C20" i="2"/>
  <c r="C21" i="2"/>
  <c r="H4" i="2"/>
  <c r="G4" i="2"/>
  <c r="D4" i="2"/>
  <c r="C4" i="2"/>
  <c r="A4" i="2"/>
  <c r="B5" i="2"/>
  <c r="B6" i="2"/>
  <c r="B7" i="2"/>
  <c r="B8" i="2"/>
  <c r="B9" i="2"/>
  <c r="B10" i="2"/>
  <c r="B11" i="2"/>
  <c r="B12" i="2"/>
  <c r="B13" i="2"/>
  <c r="B14" i="2"/>
  <c r="B15" i="2"/>
  <c r="B16" i="2"/>
  <c r="B17" i="2"/>
  <c r="B18" i="2"/>
  <c r="B19" i="2"/>
  <c r="B20" i="2"/>
  <c r="B21" i="2"/>
  <c r="B4" i="2"/>
  <c r="A20" i="2"/>
  <c r="A21" i="2"/>
  <c r="A5" i="2"/>
  <c r="A6" i="2"/>
  <c r="A7" i="2"/>
  <c r="A8" i="2"/>
  <c r="A9" i="2"/>
  <c r="A10" i="2"/>
  <c r="A11" i="2"/>
  <c r="A12" i="2"/>
  <c r="A13" i="2"/>
  <c r="A14" i="2"/>
  <c r="A15" i="2"/>
  <c r="A16" i="2"/>
  <c r="A17" i="2"/>
  <c r="A18" i="2"/>
  <c r="A19" i="2"/>
  <c r="I4" i="2" l="1"/>
  <c r="F4" i="3"/>
  <c r="D6" i="7" s="1"/>
  <c r="F5" i="3"/>
  <c r="I5" i="2"/>
  <c r="F6" i="3"/>
  <c r="I6" i="2"/>
  <c r="F7" i="3"/>
  <c r="I7" i="2"/>
  <c r="F8" i="3"/>
  <c r="I8" i="2"/>
  <c r="F9" i="3"/>
  <c r="I9" i="2"/>
  <c r="I10" i="2"/>
  <c r="F10" i="3"/>
  <c r="F11" i="3"/>
  <c r="I11" i="2"/>
  <c r="F12" i="3"/>
  <c r="I12" i="2"/>
  <c r="F13" i="3"/>
  <c r="I13" i="2"/>
  <c r="F14" i="3"/>
  <c r="I14" i="2"/>
  <c r="F15" i="3"/>
  <c r="I15" i="2"/>
  <c r="F16" i="3"/>
  <c r="I16" i="2"/>
  <c r="F17" i="3"/>
  <c r="I17" i="2"/>
  <c r="F18" i="3"/>
  <c r="I18" i="2"/>
  <c r="F19" i="3"/>
  <c r="I19" i="2"/>
  <c r="F20" i="3"/>
  <c r="I20" i="2"/>
  <c r="F21" i="3"/>
  <c r="I21" i="2"/>
  <c r="G4" i="3"/>
  <c r="G7" i="3"/>
  <c r="G8" i="3"/>
  <c r="D8" i="7"/>
  <c r="G9" i="3"/>
  <c r="A4" i="10" l="1"/>
  <c r="D4" i="10"/>
  <c r="K5" i="3"/>
  <c r="J4" i="10"/>
  <c r="B12" i="9"/>
  <c r="M4" i="10"/>
  <c r="B16" i="10" s="1"/>
  <c r="B19" i="10" s="1"/>
  <c r="B6" i="7"/>
  <c r="B14" i="9"/>
  <c r="B8" i="10"/>
  <c r="B9" i="10"/>
  <c r="B8" i="7"/>
  <c r="B9" i="7"/>
  <c r="D9" i="7"/>
  <c r="B7" i="7"/>
  <c r="D7" i="7"/>
  <c r="B13" i="7" l="1"/>
  <c r="B15" i="7" s="1"/>
  <c r="B14" i="7"/>
  <c r="G4" i="10"/>
</calcChain>
</file>

<file path=xl/sharedStrings.xml><?xml version="1.0" encoding="utf-8"?>
<sst xmlns="http://schemas.openxmlformats.org/spreadsheetml/2006/main" count="301" uniqueCount="150">
  <si>
    <t>Employee ID</t>
  </si>
  <si>
    <t>Name</t>
  </si>
  <si>
    <t>Department</t>
  </si>
  <si>
    <t>Grade</t>
  </si>
  <si>
    <t>Join Date</t>
  </si>
  <si>
    <t>Exit Date</t>
  </si>
  <si>
    <t>Monthly Pay</t>
  </si>
  <si>
    <t>Region</t>
  </si>
  <si>
    <t>Department Heads</t>
  </si>
  <si>
    <t>Leave Quota by Grade</t>
  </si>
  <si>
    <t>E101</t>
  </si>
  <si>
    <t xml:space="preserve">  priya sharma</t>
  </si>
  <si>
    <t>Engineering</t>
  </si>
  <si>
    <t>G3</t>
  </si>
  <si>
    <t>2023-01-15</t>
  </si>
  <si>
    <t>North</t>
  </si>
  <si>
    <t>Head Name</t>
  </si>
  <si>
    <t>G1</t>
  </si>
  <si>
    <t>G2</t>
  </si>
  <si>
    <t>G4</t>
  </si>
  <si>
    <t>E102</t>
  </si>
  <si>
    <t xml:space="preserve">ARJUN mehta  </t>
  </si>
  <si>
    <t>Sales</t>
  </si>
  <si>
    <t>2023-03-01</t>
  </si>
  <si>
    <t>2024-06-30</t>
  </si>
  <si>
    <t>South</t>
  </si>
  <si>
    <t>Rahul Nair</t>
  </si>
  <si>
    <t>Quota (days)</t>
  </si>
  <si>
    <t>E103</t>
  </si>
  <si>
    <t>Kavya Reddy</t>
  </si>
  <si>
    <t>2023-04-10</t>
  </si>
  <si>
    <t>Anita Desai</t>
  </si>
  <si>
    <t>E104</t>
  </si>
  <si>
    <t>rohit  Verma</t>
  </si>
  <si>
    <t>Support</t>
  </si>
  <si>
    <t>2023-05-20</t>
  </si>
  <si>
    <t>Vikas Menon</t>
  </si>
  <si>
    <t>E105</t>
  </si>
  <si>
    <t xml:space="preserve">Sneha Iyer  </t>
  </si>
  <si>
    <t>Marketing</t>
  </si>
  <si>
    <t>2023-06-01</t>
  </si>
  <si>
    <t>Sunita Rao</t>
  </si>
  <si>
    <t>E106</t>
  </si>
  <si>
    <t xml:space="preserve">  Vikram Singh</t>
  </si>
  <si>
    <t>2022-11-11</t>
  </si>
  <si>
    <t>E107</t>
  </si>
  <si>
    <t>Ananya Nair</t>
  </si>
  <si>
    <t>2022-08-15</t>
  </si>
  <si>
    <t>E108</t>
  </si>
  <si>
    <t>Karthik  Rao</t>
  </si>
  <si>
    <t>2023-07-01</t>
  </si>
  <si>
    <t>2024-09-15</t>
  </si>
  <si>
    <t>E109</t>
  </si>
  <si>
    <t>Divya   Menon</t>
  </si>
  <si>
    <t>2023-08-12</t>
  </si>
  <si>
    <t>E110</t>
  </si>
  <si>
    <t>Aditya Kapoor</t>
  </si>
  <si>
    <t>2023-02-05</t>
  </si>
  <si>
    <t>E111</t>
  </si>
  <si>
    <t>Meera Pillai</t>
  </si>
  <si>
    <t>2023-09-01</t>
  </si>
  <si>
    <t>E112</t>
  </si>
  <si>
    <t xml:space="preserve">  Rahul Joshi</t>
  </si>
  <si>
    <t>2022-12-01</t>
  </si>
  <si>
    <t>E113</t>
  </si>
  <si>
    <t>Isha Desai</t>
  </si>
  <si>
    <t>2023-10-15</t>
  </si>
  <si>
    <t>E114</t>
  </si>
  <si>
    <t>Nikhil  Bhatt</t>
  </si>
  <si>
    <t>2023-11-01</t>
  </si>
  <si>
    <t>2024-12-01</t>
  </si>
  <si>
    <t>E115</t>
  </si>
  <si>
    <t>Pooja  Agarwal</t>
  </si>
  <si>
    <t>2024-01-10</t>
  </si>
  <si>
    <t>E116</t>
  </si>
  <si>
    <t>Sanjay Kulkarni</t>
  </si>
  <si>
    <t>2022-06-01</t>
  </si>
  <si>
    <t>E117</t>
  </si>
  <si>
    <t>Tanvi   Chopra</t>
  </si>
  <si>
    <t>2022-09-20</t>
  </si>
  <si>
    <t>E118</t>
  </si>
  <si>
    <t>Manoj Pandey</t>
  </si>
  <si>
    <t>2023-03-25</t>
  </si>
  <si>
    <t>Q1. Clean the Name column with TRIM and PROPER, and convert the range into a formal Excel Table.</t>
  </si>
  <si>
    <t>Name (Cleaned)</t>
  </si>
  <si>
    <t>Q2. Flag Active or Exited using IF, assign a Pay Band using nested IF, then answer with COUNTIFS: how many active employees are in Engineering in the North region?</t>
  </si>
  <si>
    <t>Status (IF)</t>
  </si>
  <si>
    <t>Pay Band (Nested IF)</t>
  </si>
  <si>
    <t>COUNTIFS Answer</t>
  </si>
  <si>
    <t>Active employees, Engineering, North region:</t>
  </si>
  <si>
    <t>Q3. VLOOKUP each employee's Department Head (wrapped in IFERROR), and HLOOKUP their Leave Quota (wrapped in IFNA).</t>
  </si>
  <si>
    <t>Department Head (VLOOKUP+IFERROR)</t>
  </si>
  <si>
    <t>Leave Quota (HLOOKUP+IFNA)</t>
  </si>
  <si>
    <t>Q4. Build a two way lookup with INDEX and MATCH that returns active headcount for any Department and Region typed in.</t>
  </si>
  <si>
    <t>Active Headcount Grid (source for the lookup)</t>
  </si>
  <si>
    <t>Try It: Two Way Lookup</t>
  </si>
  <si>
    <t>Type a Department:</t>
  </si>
  <si>
    <t>Type a Region:</t>
  </si>
  <si>
    <t>Result (INDEX and MATCH):</t>
  </si>
  <si>
    <t>Q5. Build a Pivot Table summarizing active headcount and average pay by Department and Region.</t>
  </si>
  <si>
    <t>Active</t>
  </si>
  <si>
    <t>Exited</t>
  </si>
  <si>
    <t>Q6. Add formulas that pull headcount from your answer sheets, calculate each department's percent of total headcount (Show Values As), and find the pay gap between the highest and lowest paid department.</t>
  </si>
  <si>
    <t>Fill the block below with independent COUNTIFS and AVERAGEIFS formulas — those are what is marked. Then, if you want the practice, write the same numbers again with GETPIVOTDATA against your Sheet6 pivot and check the two agree. GETPIVOTDATA reads a PivotTable's cached values rather than calculating them, so it is not automatically marked.</t>
  </si>
  <si>
    <t>Active Headcount</t>
  </si>
  <si>
    <t>Percent of Total (Show Values As)</t>
  </si>
  <si>
    <t>Average Pay</t>
  </si>
  <si>
    <t>Pay Gap, Highest Average Department Pay Minus Lowest</t>
  </si>
  <si>
    <t>Highest average department pay</t>
  </si>
  <si>
    <t>Lowest average department pay</t>
  </si>
  <si>
    <t>Pay gap</t>
  </si>
  <si>
    <t>Q7. Build a chart visualizing headcount by department.</t>
  </si>
  <si>
    <t>Q8. Add a Slicer for Region and a Timeline for Join Date to your pivot table, connected so both filter it live.</t>
  </si>
  <si>
    <t>IMPORTANT, this feature must be built live in Excel</t>
  </si>
  <si>
    <t>A Slicer and a Timeline are genuine interactive Excel buttons, not something a script can generate inside a file. Click your Sheet6 pivot, then Insert, Slicer, choose Region, and Insert, Timeline, choose Join Date, exactly as taught in Module 7. Once built, clicking North on your Slicer should produce the same headcount shown below.</t>
  </si>
  <si>
    <t>Expected results once your Slicer is built (verified independently, for you to check against)</t>
  </si>
  <si>
    <t>Slicer Selection</t>
  </si>
  <si>
    <t>Active Headcount Shown</t>
  </si>
  <si>
    <t>Region = North</t>
  </si>
  <si>
    <t>Region = South</t>
  </si>
  <si>
    <t>No filter (all regions)</t>
  </si>
  <si>
    <t>Q9. Build an Interactive Dashboard bringing together the pivot, the Slicer and Timeline from Q8, a chart, and key headcount KPIs, and use Goal Seek for the Engineering hiring question.</t>
  </si>
  <si>
    <t>Total Active Headcount</t>
  </si>
  <si>
    <t>Total Exited</t>
  </si>
  <si>
    <t>Attrition Rate</t>
  </si>
  <si>
    <t>Avg Monthly Pay (Active)</t>
  </si>
  <si>
    <t>Engineering Headcount</t>
  </si>
  <si>
    <t>Reminder: connect your Slicer and Timeline from Sheet9 to this dashboard's pivot and chart too.</t>
  </si>
  <si>
    <t>Goal Seek: Engineering Hiring Target</t>
  </si>
  <si>
    <t>Current Engineering headcount</t>
  </si>
  <si>
    <t>Target headcount</t>
  </si>
  <si>
    <t>Additional hires needed</t>
  </si>
  <si>
    <t>Status</t>
  </si>
  <si>
    <t>Row Labels</t>
  </si>
  <si>
    <t>Grand Total</t>
  </si>
  <si>
    <t>Column Labels</t>
  </si>
  <si>
    <t>Count of Employee ID</t>
  </si>
  <si>
    <t>Total Count of Employee ID</t>
  </si>
  <si>
    <t>Total Average of Monthly Pay</t>
  </si>
  <si>
    <t>Average of Monthly Pay</t>
  </si>
  <si>
    <t>Projected Engineering Headcount</t>
  </si>
  <si>
    <t>Join Date (Date)</t>
  </si>
  <si>
    <t>Live Pivot Table (right click, Refresh, to confirm it recalculates)</t>
  </si>
  <si>
    <t>Filter</t>
  </si>
  <si>
    <t>Data</t>
  </si>
  <si>
    <t>Total Result</t>
  </si>
  <si>
    <t>Count - Employee ID</t>
  </si>
  <si>
    <t>Average - Monthly Pay</t>
  </si>
  <si>
    <t>Total Count - Employee ID</t>
  </si>
  <si>
    <t>Total Average - Monthly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</si>
</sst>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0"/>
      <name val="Arial"/>
    </font>
    <font>
      <b/>
      <sz val="11"/>
      <color theme="1"/>
      <name val="Calibri"/>
      <family val="2"/>
      <charset val="1"/>
    </font>
    <font>
      <b/>
      <sz val="11"/>
      <color rgb="FFFFFFFF"/>
      <name val="Cambria"/>
      <charset val="1"/>
    </font>
    <font>
      <b/>
      <sz val="11"/>
      <color rgb="FF6D28D9"/>
      <name val="Cambria"/>
      <charset val="1"/>
    </font>
    <font>
      <b/>
      <sz val="13"/>
      <color rgb="FF6D28D9"/>
      <name val="Cambria"/>
      <charset val="1"/>
    </font>
    <font>
      <b/>
      <sz val="12"/>
      <color rgb="FF6D28D9"/>
      <name val="Cambria"/>
      <charset val="1"/>
    </font>
    <font>
      <b/>
      <sz val="11"/>
      <name val="Cambria"/>
      <charset val="1"/>
    </font>
    <font>
      <i/>
      <sz val="10"/>
      <color rgb="FF0F7A4D"/>
      <name val="Cambria"/>
      <charset val="1"/>
    </font>
    <font>
      <b/>
      <sz val="13"/>
      <color rgb="FF0F7A4D"/>
      <name val="Cambria"/>
      <charset val="1"/>
    </font>
    <font>
      <b/>
      <sz val="11"/>
      <color rgb="FFD97706"/>
      <name val="Cambria"/>
      <charset val="1"/>
    </font>
    <font>
      <b/>
      <sz val="11"/>
      <color rgb="FF0F7A4D"/>
      <name val="Cambria"/>
      <charset val="1"/>
    </font>
    <font>
      <sz val="11"/>
      <color theme="1"/>
      <name val="Calibri"/>
      <family val="2"/>
      <charset val="1"/>
    </font>
    <font>
      <sz val="11"/>
      <color theme="1"/>
      <name val="Calibri"/>
      <family val="2"/>
    </font>
    <font>
      <b/>
      <sz val="11"/>
      <color rgb="FFFFFFFF"/>
      <name val="Cambria"/>
      <family val="1"/>
    </font>
  </fonts>
  <fills count="3">
    <fill>
      <patternFill patternType="none"/>
    </fill>
    <fill>
      <patternFill patternType="gray125"/>
    </fill>
    <fill>
      <patternFill patternType="solid">
        <fgColor rgb="FF141C4B"/>
        <bgColor rgb="FF000080"/>
      </patternFill>
    </fill>
  </fills>
  <borders count="31">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right style="thin">
        <color auto="1"/>
      </right>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8">
    <xf numFmtId="0" fontId="0" fillId="0" borderId="0"/>
    <xf numFmtId="9" fontId="1" fillId="0" borderId="0"/>
    <xf numFmtId="0" fontId="12" fillId="0" borderId="0">
      <alignment horizontal="left"/>
    </xf>
    <xf numFmtId="0" fontId="12" fillId="0" borderId="0"/>
    <xf numFmtId="0" fontId="12" fillId="0" borderId="0"/>
    <xf numFmtId="0" fontId="2" fillId="0" borderId="0"/>
    <xf numFmtId="0" fontId="2" fillId="0" borderId="0">
      <alignment horizontal="left"/>
    </xf>
    <xf numFmtId="0" fontId="12" fillId="0" borderId="0"/>
  </cellStyleXfs>
  <cellXfs count="63">
    <xf numFmtId="0" fontId="0" fillId="0" borderId="0" xfId="0"/>
    <xf numFmtId="0" fontId="3" fillId="2" borderId="0" xfId="0" applyFont="1" applyFill="1"/>
    <xf numFmtId="0" fontId="4" fillId="0" borderId="0" xfId="0" applyFont="1"/>
    <xf numFmtId="0" fontId="6" fillId="0" borderId="0" xfId="0" applyFont="1"/>
    <xf numFmtId="0" fontId="7" fillId="0" borderId="0" xfId="0" applyFont="1"/>
    <xf numFmtId="0" fontId="0" fillId="0" borderId="1" xfId="0" applyBorder="1"/>
    <xf numFmtId="0" fontId="0" fillId="0" borderId="2" xfId="0" applyBorder="1"/>
    <xf numFmtId="0" fontId="2" fillId="0" borderId="6" xfId="0" applyFont="1" applyBorder="1"/>
    <xf numFmtId="0" fontId="0" fillId="0" borderId="7" xfId="0" applyBorder="1" applyAlignment="1">
      <alignment horizontal="left"/>
    </xf>
    <xf numFmtId="0" fontId="0" fillId="0" borderId="0" xfId="0" applyAlignment="1">
      <alignment horizontal="left"/>
    </xf>
    <xf numFmtId="0" fontId="0" fillId="0" borderId="8" xfId="0" applyBorder="1" applyAlignment="1">
      <alignment horizontal="left"/>
    </xf>
    <xf numFmtId="0" fontId="0" fillId="0" borderId="4" xfId="0" applyBorder="1"/>
    <xf numFmtId="0" fontId="2" fillId="0" borderId="9" xfId="0" applyFont="1" applyBorder="1"/>
    <xf numFmtId="0" fontId="2" fillId="0" borderId="10" xfId="0" applyFont="1" applyBorder="1"/>
    <xf numFmtId="0" fontId="2" fillId="0" borderId="11" xfId="0" applyFont="1" applyBorder="1"/>
    <xf numFmtId="0" fontId="0" fillId="0" borderId="12" xfId="0" applyBorder="1"/>
    <xf numFmtId="0" fontId="0" fillId="0" borderId="5" xfId="0" applyBorder="1"/>
    <xf numFmtId="0" fontId="0" fillId="0" borderId="13" xfId="0" applyBorder="1"/>
    <xf numFmtId="0" fontId="0" fillId="0" borderId="8" xfId="0" applyBorder="1"/>
    <xf numFmtId="0" fontId="0" fillId="0" borderId="3" xfId="0" applyBorder="1"/>
    <xf numFmtId="0" fontId="2" fillId="0" borderId="7" xfId="0" applyFont="1" applyBorder="1" applyAlignment="1">
      <alignment horizontal="left"/>
    </xf>
    <xf numFmtId="0" fontId="2" fillId="0" borderId="0" xfId="0" applyFont="1" applyAlignment="1">
      <alignment horizontal="left"/>
    </xf>
    <xf numFmtId="0" fontId="2" fillId="0" borderId="8" xfId="0" applyFont="1" applyBorder="1" applyAlignment="1">
      <alignment horizontal="left"/>
    </xf>
    <xf numFmtId="0" fontId="2" fillId="0" borderId="0" xfId="0" applyFont="1"/>
    <xf numFmtId="0" fontId="2" fillId="0" borderId="14" xfId="0"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left"/>
    </xf>
    <xf numFmtId="0" fontId="2" fillId="0" borderId="17" xfId="0" applyFont="1" applyBorder="1"/>
    <xf numFmtId="0" fontId="2" fillId="0" borderId="18" xfId="0" applyFont="1" applyBorder="1"/>
    <xf numFmtId="0" fontId="2" fillId="0" borderId="19" xfId="0" applyFont="1" applyBorder="1"/>
    <xf numFmtId="3" fontId="0" fillId="0" borderId="0" xfId="0" applyNumberFormat="1"/>
    <xf numFmtId="3" fontId="9" fillId="0" borderId="0" xfId="0" applyNumberFormat="1" applyFont="1"/>
    <xf numFmtId="0" fontId="10" fillId="0" borderId="0" xfId="0" applyFont="1"/>
    <xf numFmtId="0" fontId="11" fillId="0" borderId="0" xfId="0" applyFont="1"/>
    <xf numFmtId="14" fontId="0" fillId="0" borderId="0" xfId="0" applyNumberFormat="1"/>
    <xf numFmtId="0" fontId="13" fillId="0" borderId="0" xfId="0" applyFont="1"/>
    <xf numFmtId="0" fontId="14" fillId="2" borderId="0" xfId="0" applyFont="1" applyFill="1"/>
    <xf numFmtId="0" fontId="0" fillId="0" borderId="0" xfId="0" pivotButton="1"/>
    <xf numFmtId="0" fontId="0" fillId="0" borderId="0" xfId="0" applyAlignment="1">
      <alignment horizontal="left" indent="1"/>
    </xf>
    <xf numFmtId="9" fontId="1" fillId="0" borderId="0" xfId="1"/>
    <xf numFmtId="10" fontId="1" fillId="0" borderId="0" xfId="1" applyNumberFormat="1"/>
    <xf numFmtId="2" fontId="0" fillId="0" borderId="0" xfId="0" applyNumberFormat="1"/>
    <xf numFmtId="1" fontId="0" fillId="0" borderId="0" xfId="0" applyNumberFormat="1"/>
    <xf numFmtId="0" fontId="5" fillId="0" borderId="0" xfId="0" applyFont="1"/>
    <xf numFmtId="0" fontId="0" fillId="0" borderId="0" xfId="0"/>
    <xf numFmtId="0" fontId="8" fillId="0" borderId="0" xfId="0" applyFont="1"/>
    <xf numFmtId="0" fontId="6" fillId="0" borderId="0" xfId="0" applyFont="1"/>
    <xf numFmtId="0" fontId="0" fillId="0" borderId="0" xfId="0" applyAlignment="1">
      <alignment vertical="top" wrapText="1"/>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3" xfId="0" applyBorder="1" applyAlignment="1">
      <alignment horizontal="left"/>
    </xf>
    <xf numFmtId="0" fontId="0" fillId="0" borderId="1" xfId="0" applyBorder="1" applyAlignment="1">
      <alignment horizontal="left"/>
    </xf>
    <xf numFmtId="0" fontId="2" fillId="0" borderId="27" xfId="0" applyFont="1" applyBorder="1" applyAlignment="1">
      <alignment horizontal="left"/>
    </xf>
    <xf numFmtId="0" fontId="0" fillId="0" borderId="28"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29" xfId="0" applyBorder="1"/>
    <xf numFmtId="0" fontId="0" fillId="0" borderId="30" xfId="0" applyBorder="1"/>
  </cellXfs>
  <cellStyles count="8">
    <cellStyle name="Normal" xfId="0" builtinId="0"/>
    <cellStyle name="Percent" xfId="1" builtinId="5"/>
    <cellStyle name="Pivot Table Category" xfId="2" xr:uid="{00000000-0005-0000-0000-000006000000}"/>
    <cellStyle name="Pivot Table Corner" xfId="3" xr:uid="{00000000-0005-0000-0000-000007000000}"/>
    <cellStyle name="Pivot Table Field" xfId="4" xr:uid="{00000000-0005-0000-0000-000008000000}"/>
    <cellStyle name="Pivot Table Result" xfId="5" xr:uid="{00000000-0005-0000-0000-000009000000}"/>
    <cellStyle name="Pivot Table Title" xfId="6" xr:uid="{00000000-0005-0000-0000-00000A000000}"/>
    <cellStyle name="Pivot Table Value" xfId="7" xr:uid="{00000000-0005-0000-0000-00000B000000}"/>
  </cellStyles>
  <dxfs count="10">
    <dxf>
      <font>
        <color rgb="FF9C0006"/>
      </font>
      <fill>
        <patternFill>
          <bgColor rgb="FFFFC7CE"/>
        </patternFill>
      </fill>
    </dxf>
    <dxf>
      <font>
        <color rgb="FF006100"/>
      </font>
      <fill>
        <patternFill>
          <bgColor rgb="FFC6EFCE"/>
        </patternFill>
      </fill>
    </dxf>
    <dxf>
      <numFmt numFmtId="19" formatCode="dd/mm/yyyy"/>
    </dxf>
    <dxf>
      <numFmt numFmtId="19" formatCode="dd/mm/yyyy"/>
    </dxf>
    <dxf>
      <numFmt numFmtId="0" formatCode="General"/>
    </dxf>
    <dxf>
      <font>
        <b/>
        <i val="0"/>
        <strike val="0"/>
        <condense val="0"/>
        <extend val="0"/>
        <outline val="0"/>
        <shadow val="0"/>
        <u val="none"/>
        <vertAlign val="baseline"/>
        <sz val="11"/>
        <color rgb="FFFFFFFF"/>
        <name val="Cambria"/>
        <charset val="1"/>
        <scheme val="none"/>
      </font>
      <fill>
        <patternFill patternType="solid">
          <fgColor rgb="FF000080"/>
          <bgColor rgb="FF141C4B"/>
        </patternFill>
      </fill>
    </dxf>
    <dxf>
      <numFmt numFmtId="19" formatCode="dd/mm/yyyy"/>
    </dxf>
    <dxf>
      <numFmt numFmtId="19" formatCode="dd/mm/yyyy"/>
    </dxf>
    <dxf>
      <numFmt numFmtId="19" formatCode="dd/mm/yyyy"/>
    </dxf>
    <dxf>
      <font>
        <b/>
        <i val="0"/>
        <strike val="0"/>
        <condense val="0"/>
        <extend val="0"/>
        <outline val="0"/>
        <shadow val="0"/>
        <u val="none"/>
        <vertAlign val="baseline"/>
        <sz val="11"/>
        <color rgb="FFFFFFFF"/>
        <name val="Cambria"/>
        <charset val="1"/>
        <scheme val="none"/>
      </font>
      <fill>
        <patternFill patternType="solid">
          <fgColor rgb="FF000080"/>
          <bgColor rgb="FF141C4B"/>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A4D"/>
      <rgbColor rgb="FFB3B3B3"/>
      <rgbColor rgb="FF808080"/>
      <rgbColor rgb="FF9999FF"/>
      <rgbColor rgb="FF993366"/>
      <rgbColor rgb="FFFE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D97706"/>
      <rgbColor rgb="FF666699"/>
      <rgbColor rgb="FF969696"/>
      <rgbColor rgb="FF004586"/>
      <rgbColor rgb="FF339966"/>
      <rgbColor rgb="FF003300"/>
      <rgbColor rgb="FF333300"/>
      <rgbColor rgb="FFFF420E"/>
      <rgbColor rgb="FF993366"/>
      <rgbColor rgb="FF6D28D9"/>
      <rgbColor rgb="FF141C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'Sheet8 - Q7 Answer'!$B$3</c:f>
              <c:strCache>
                <c:ptCount val="1"/>
                <c:pt idx="0">
                  <c:v>Active Headcount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'Sheet8 - Q7 Answer'!$A$4:$A$7</c:f>
              <c:strCache>
                <c:ptCount val="4"/>
                <c:pt idx="0">
                  <c:v>Engineering</c:v>
                </c:pt>
                <c:pt idx="1">
                  <c:v>Marketing</c:v>
                </c:pt>
                <c:pt idx="2">
                  <c:v>Sales</c:v>
                </c:pt>
                <c:pt idx="3">
                  <c:v>Support</c:v>
                </c:pt>
              </c:strCache>
            </c:strRef>
          </c:cat>
          <c:val>
            <c:numRef>
              <c:f>'Sheet8 - Q7 Answer'!$B$4:$B$7</c:f>
              <c:numCache>
                <c:formatCode>General</c:formatCode>
                <c:ptCount val="4"/>
                <c:pt idx="0">
                  <c:v>5</c:v>
                </c:pt>
                <c:pt idx="1">
                  <c:v>4</c:v>
                </c:pt>
                <c:pt idx="2">
                  <c:v>3</c:v>
                </c:pt>
                <c:pt idx="3">
                  <c:v>3</c:v>
                </c:pt>
              </c:numCache>
            </c:numRef>
          </c:val>
          <c:extLst>
            <c:ext xmlns:c16="http://schemas.microsoft.com/office/drawing/2014/chart" uri="{C3380CC4-5D6E-409C-BE32-E72D297353CC}">
              <c16:uniqueId val="{00000000-3D81-4CFD-9DC6-C6CE3A99C42F}"/>
            </c:ext>
          </c:extLst>
        </c:ser>
        <c:dLbls>
          <c:showLegendKey val="0"/>
          <c:showVal val="0"/>
          <c:showCatName val="0"/>
          <c:showSerName val="0"/>
          <c:showPercent val="0"/>
          <c:showBubbleSize val="0"/>
        </c:dLbls>
        <c:gapWidth val="219"/>
        <c:overlap val="-27"/>
        <c:axId val="232373840"/>
        <c:axId val="2084080016"/>
      </c:barChart>
      <c:catAx>
        <c:axId val="232373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080016"/>
        <c:crosses val="autoZero"/>
        <c:auto val="1"/>
        <c:lblAlgn val="ctr"/>
        <c:lblOffset val="100"/>
        <c:noMultiLvlLbl val="0"/>
      </c:catAx>
      <c:valAx>
        <c:axId val="2084080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Headcount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7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'Sheet8 - Q7 Answer'!$B$3</c:f>
              <c:strCache>
                <c:ptCount val="1"/>
                <c:pt idx="0">
                  <c:v>Active Headcount</c:v>
                </c:pt>
              </c:strCache>
            </c:strRef>
          </c:tx>
          <c:dPt>
            <c:idx val="0"/>
            <c:bubble3D val="0"/>
            <c:spPr>
              <a:solidFill>
                <a:schemeClr val="accent1"/>
              </a:solidFill>
              <a:ln>
                <a:noFill/>
              </a:ln>
              <a:effectLst/>
            </c:spPr>
            <c:extLst>
              <c:ext xmlns:c16="http://schemas.microsoft.com/office/drawing/2014/chart" uri="{C3380CC4-5D6E-409C-BE32-E72D297353CC}">
                <c16:uniqueId val="{00000001-778C-4AF4-BE1E-47C59D3434F0}"/>
              </c:ext>
            </c:extLst>
          </c:dPt>
          <c:dPt>
            <c:idx val="1"/>
            <c:bubble3D val="0"/>
            <c:spPr>
              <a:solidFill>
                <a:schemeClr val="accent2"/>
              </a:solidFill>
              <a:ln>
                <a:noFill/>
              </a:ln>
              <a:effectLst/>
            </c:spPr>
            <c:extLst>
              <c:ext xmlns:c16="http://schemas.microsoft.com/office/drawing/2014/chart" uri="{C3380CC4-5D6E-409C-BE32-E72D297353CC}">
                <c16:uniqueId val="{00000003-778C-4AF4-BE1E-47C59D3434F0}"/>
              </c:ext>
            </c:extLst>
          </c:dPt>
          <c:dPt>
            <c:idx val="2"/>
            <c:bubble3D val="0"/>
            <c:spPr>
              <a:solidFill>
                <a:schemeClr val="accent3"/>
              </a:solidFill>
              <a:ln>
                <a:noFill/>
              </a:ln>
              <a:effectLst/>
            </c:spPr>
            <c:extLst>
              <c:ext xmlns:c16="http://schemas.microsoft.com/office/drawing/2014/chart" uri="{C3380CC4-5D6E-409C-BE32-E72D297353CC}">
                <c16:uniqueId val="{00000005-778C-4AF4-BE1E-47C59D3434F0}"/>
              </c:ext>
            </c:extLst>
          </c:dPt>
          <c:dPt>
            <c:idx val="3"/>
            <c:bubble3D val="0"/>
            <c:spPr>
              <a:solidFill>
                <a:schemeClr val="accent4"/>
              </a:solidFill>
              <a:ln>
                <a:noFill/>
              </a:ln>
              <a:effectLst/>
            </c:spPr>
            <c:extLst>
              <c:ext xmlns:c16="http://schemas.microsoft.com/office/drawing/2014/chart" uri="{C3380CC4-5D6E-409C-BE32-E72D297353CC}">
                <c16:uniqueId val="{00000007-778C-4AF4-BE1E-47C59D3434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'Sheet8 - Q7 Answer'!$A$4:$A$7</c:f>
              <c:strCache>
                <c:ptCount val="4"/>
                <c:pt idx="0">
                  <c:v>Engineering</c:v>
                </c:pt>
                <c:pt idx="1">
                  <c:v>Marketing</c:v>
                </c:pt>
                <c:pt idx="2">
                  <c:v>Sales</c:v>
                </c:pt>
                <c:pt idx="3">
                  <c:v>Support</c:v>
                </c:pt>
              </c:strCache>
            </c:strRef>
          </c:cat>
          <c:val>
            <c:numRef>
              <c:f>'Sheet8 - Q7 Answer'!$B$4:$B$7</c:f>
              <c:numCache>
                <c:formatCode>General</c:formatCode>
                <c:ptCount val="4"/>
                <c:pt idx="0">
                  <c:v>5</c:v>
                </c:pt>
                <c:pt idx="1">
                  <c:v>4</c:v>
                </c:pt>
                <c:pt idx="2">
                  <c:v>3</c:v>
                </c:pt>
                <c:pt idx="3">
                  <c:v>3</c:v>
                </c:pt>
              </c:numCache>
            </c:numRef>
          </c:val>
          <c:extLst>
            <c:ext xmlns:c16="http://schemas.microsoft.com/office/drawing/2014/chart" uri="{C3380CC4-5D6E-409C-BE32-E72D297353CC}">
              <c16:uniqueId val="{00000000-D31B-440E-A259-02D3E01E64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464820</xdr:colOff>
      <xdr:row>7</xdr:row>
      <xdr:rowOff>118110</xdr:rowOff>
    </xdr:from>
    <xdr:to>
      <xdr:col>7</xdr:col>
      <xdr:colOff>281940</xdr:colOff>
      <xdr:row>23</xdr:row>
      <xdr:rowOff>118110</xdr:rowOff>
    </xdr:to>
    <xdr:graphicFrame macro="">
      <xdr:nvGraphicFramePr>
        <xdr:cNvPr id="2" name="Chart 1">
          <a:extLst>
            <a:ext uri="{FF2B5EF4-FFF2-40B4-BE49-F238E27FC236}">
              <a16:creationId xmlns:a16="http://schemas.microsoft.com/office/drawing/2014/main" id="{3BF08385-7151-6238-9B85-0FD934F80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1</xdr:col>
      <xdr:colOff>45720</xdr:colOff>
      <xdr:row>30</xdr:row>
      <xdr:rowOff>89535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B92A38D-DDF0-4EC3-A8A8-1C2BE7408F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71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19</xdr:row>
      <xdr:rowOff>0</xdr:rowOff>
    </xdr:from>
    <xdr:to>
      <xdr:col>4</xdr:col>
      <xdr:colOff>320040</xdr:colOff>
      <xdr:row>26</xdr:row>
      <xdr:rowOff>91440</xdr:rowOff>
    </xdr:to>
    <mc:AlternateContent xmlns:mc="http://schemas.openxmlformats.org/markup-compatibility/2006" xmlns:tsle="http://schemas.microsoft.com/office/drawing/2012/timeslicer">
      <mc:Choice Requires="tsle">
        <xdr:graphicFrame macro="">
          <xdr:nvGraphicFramePr>
            <xdr:cNvPr id="3" name="Join Date (Date)">
              <a:extLst>
                <a:ext uri="{FF2B5EF4-FFF2-40B4-BE49-F238E27FC236}">
                  <a16:creationId xmlns:a16="http://schemas.microsoft.com/office/drawing/2014/main" id="{D0F29805-8C13-40B3-84B2-BD00D6A29DC9}"/>
                </a:ext>
              </a:extLst>
            </xdr:cNvPr>
            <xdr:cNvGraphicFramePr/>
          </xdr:nvGraphicFramePr>
          <xdr:xfrm>
            <a:off x="0" y="0"/>
            <a:ext cx="0" cy="0"/>
          </xdr:xfrm>
          <a:graphic>
            <a:graphicData uri="http://schemas.microsoft.com/office/drawing/2012/timeslicer">
              <tsle:timeslicer name="Join Date (Date)"/>
            </a:graphicData>
          </a:graphic>
        </xdr:graphicFrame>
      </mc:Choice>
      <mc:Fallback xmlns="">
        <xdr:sp macro="" textlink="">
          <xdr:nvSpPr>
            <xdr:cNvPr id="0" name=""/>
            <xdr:cNvSpPr>
              <a:spLocks noTextEdit="1"/>
            </xdr:cNvSpPr>
          </xdr:nvSpPr>
          <xdr:spPr>
            <a:xfrm>
              <a:off x="1783080" y="41376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6</xdr:row>
      <xdr:rowOff>0</xdr:rowOff>
    </xdr:from>
    <xdr:to>
      <xdr:col>9</xdr:col>
      <xdr:colOff>609600</xdr:colOff>
      <xdr:row>22</xdr:row>
      <xdr:rowOff>30480</xdr:rowOff>
    </xdr:to>
    <xdr:graphicFrame macro="">
      <xdr:nvGraphicFramePr>
        <xdr:cNvPr id="2" name="Chart 1">
          <a:extLst>
            <a:ext uri="{FF2B5EF4-FFF2-40B4-BE49-F238E27FC236}">
              <a16:creationId xmlns:a16="http://schemas.microsoft.com/office/drawing/2014/main" id="{74B84A33-2AC0-4A62-89AC-6A0AEA227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23</xdr:row>
      <xdr:rowOff>0</xdr:rowOff>
    </xdr:from>
    <xdr:to>
      <xdr:col>10</xdr:col>
      <xdr:colOff>239949</xdr:colOff>
      <xdr:row>36</xdr:row>
      <xdr:rowOff>148549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3D398B6D-6E75-4096-8317-489529A83B7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705617" y="377757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194229</xdr:colOff>
      <xdr:row>25</xdr:row>
      <xdr:rowOff>9079</xdr:rowOff>
    </xdr:from>
    <xdr:to>
      <xdr:col>14</xdr:col>
      <xdr:colOff>354087</xdr:colOff>
      <xdr:row>32</xdr:row>
      <xdr:rowOff>132296</xdr:rowOff>
    </xdr:to>
    <mc:AlternateContent xmlns:mc="http://schemas.openxmlformats.org/markup-compatibility/2006" xmlns:tsle="http://schemas.microsoft.com/office/drawing/2012/timeslicer">
      <mc:Choice Requires="tsle">
        <xdr:graphicFrame macro="">
          <xdr:nvGraphicFramePr>
            <xdr:cNvPr id="8" name="Join Date (Date) 1">
              <a:extLst>
                <a:ext uri="{FF2B5EF4-FFF2-40B4-BE49-F238E27FC236}">
                  <a16:creationId xmlns:a16="http://schemas.microsoft.com/office/drawing/2014/main" id="{B77F06D1-C5B6-46D6-A260-78C9B8139AC7}"/>
                </a:ext>
              </a:extLst>
            </xdr:cNvPr>
            <xdr:cNvGraphicFramePr/>
          </xdr:nvGraphicFramePr>
          <xdr:xfrm>
            <a:off x="0" y="0"/>
            <a:ext cx="0" cy="0"/>
          </xdr:xfrm>
          <a:graphic>
            <a:graphicData uri="http://schemas.microsoft.com/office/drawing/2012/timeslicer">
              <tsle:timeslicer name="Join Date (Date) 1"/>
            </a:graphicData>
          </a:graphic>
        </xdr:graphicFrame>
      </mc:Choice>
      <mc:Fallback xmlns="">
        <xdr:sp macro="" textlink="">
          <xdr:nvSpPr>
            <xdr:cNvPr id="0" name=""/>
            <xdr:cNvSpPr>
              <a:spLocks noTextEdit="1"/>
            </xdr:cNvSpPr>
          </xdr:nvSpPr>
          <xdr:spPr>
            <a:xfrm>
              <a:off x="13488697" y="4143334"/>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thul Shankar" refreshedDate="46311.554005902777" createdVersion="8" refreshedVersion="8" minRefreshableVersion="3" recordCount="18" xr:uid="{A7AB6D86-FDFD-4C64-8690-C7C7DEE8222C}">
  <cacheSource type="worksheet">
    <worksheetSource name="Q1Table"/>
  </cacheSource>
  <cacheFields count="10">
    <cacheField name="Employee ID" numFmtId="0">
      <sharedItems/>
    </cacheField>
    <cacheField name="Name (Cleaned)" numFmtId="0">
      <sharedItems/>
    </cacheField>
    <cacheField name="Department" numFmtId="0">
      <sharedItems count="4">
        <s v="Engineering"/>
        <s v="Sales"/>
        <s v="Support"/>
        <s v="Marketing"/>
      </sharedItems>
    </cacheField>
    <cacheField name="Grade" numFmtId="0">
      <sharedItems/>
    </cacheField>
    <cacheField name="Join Date" numFmtId="14">
      <sharedItems/>
    </cacheField>
    <cacheField name="Exit Date" numFmtId="14">
      <sharedItems/>
    </cacheField>
    <cacheField name="Monthly Pay" numFmtId="0">
      <sharedItems containsSemiMixedTypes="0" containsString="0" containsNumber="1" containsInteger="1" minValue="30000" maxValue="95000"/>
    </cacheField>
    <cacheField name="Region" numFmtId="0">
      <sharedItems count="2">
        <s v="North"/>
        <s v="South"/>
      </sharedItems>
    </cacheField>
    <cacheField name="Status" numFmtId="0">
      <sharedItems count="2">
        <s v="Active"/>
        <s v="Exited"/>
      </sharedItems>
    </cacheField>
    <cacheField name="Join Date (Date)" numFmtId="14">
      <sharedItems containsSemiMixedTypes="0" containsNonDate="0" containsDate="1" containsString="0" minDate="2022-06-01T00:00:00" maxDate="2024-01-11T00:00:00" count="18">
        <d v="2023-01-15T00:00:00"/>
        <d v="2023-03-01T00:00:00"/>
        <d v="2023-04-10T00:00:00"/>
        <d v="2023-05-20T00:00:00"/>
        <d v="2023-06-01T00:00:00"/>
        <d v="2022-11-11T00:00:00"/>
        <d v="2022-08-15T00:00:00"/>
        <d v="2023-07-01T00:00:00"/>
        <d v="2023-08-12T00:00:00"/>
        <d v="2023-02-05T00:00:00"/>
        <d v="2023-09-01T00:00:00"/>
        <d v="2022-12-01T00:00:00"/>
        <d v="2023-10-15T00:00:00"/>
        <d v="2023-11-01T00:00:00"/>
        <d v="2024-01-10T00:00:00"/>
        <d v="2022-06-01T00:00:00"/>
        <d v="2022-09-20T00:00:00"/>
        <d v="2023-03-25T00:00:00"/>
      </sharedItems>
    </cacheField>
  </cacheFields>
  <extLst>
    <ext xmlns:x14="http://schemas.microsoft.com/office/spreadsheetml/2009/9/main" uri="{725AE2AE-9491-48be-B2B4-4EB974FC3084}">
      <x14:pivotCacheDefinition pivotCacheId="1564099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E101"/>
    <s v="Priya Sharma"/>
    <x v="0"/>
    <s v="G3"/>
    <s v="2023-01-15"/>
    <s v=""/>
    <n v="68000"/>
    <x v="0"/>
    <x v="0"/>
    <x v="0"/>
  </r>
  <r>
    <s v="E102"/>
    <s v="Arjun Mehta"/>
    <x v="1"/>
    <s v="G2"/>
    <s v="2023-03-01"/>
    <s v="2024-06-30"/>
    <n v="45000"/>
    <x v="1"/>
    <x v="1"/>
    <x v="1"/>
  </r>
  <r>
    <s v="E103"/>
    <s v="Kavya Reddy"/>
    <x v="0"/>
    <s v="G2"/>
    <s v="2023-04-10"/>
    <s v=""/>
    <n v="52000"/>
    <x v="1"/>
    <x v="0"/>
    <x v="2"/>
  </r>
  <r>
    <s v="E104"/>
    <s v="Rohit Verma"/>
    <x v="2"/>
    <s v="G1"/>
    <s v="2023-05-20"/>
    <s v=""/>
    <n v="32000"/>
    <x v="1"/>
    <x v="0"/>
    <x v="3"/>
  </r>
  <r>
    <s v="E105"/>
    <s v="Sneha Iyer"/>
    <x v="3"/>
    <s v="G3"/>
    <s v="2023-06-01"/>
    <s v=""/>
    <n v="61000"/>
    <x v="0"/>
    <x v="0"/>
    <x v="4"/>
  </r>
  <r>
    <s v="E106"/>
    <s v="Vikram Singh"/>
    <x v="1"/>
    <s v="G4"/>
    <s v="2022-11-11"/>
    <s v=""/>
    <n v="89000"/>
    <x v="1"/>
    <x v="0"/>
    <x v="5"/>
  </r>
  <r>
    <s v="E107"/>
    <s v="Ananya Nair"/>
    <x v="0"/>
    <s v="G4"/>
    <s v="2022-08-15"/>
    <s v=""/>
    <n v="95000"/>
    <x v="0"/>
    <x v="0"/>
    <x v="6"/>
  </r>
  <r>
    <s v="E108"/>
    <s v="Karthik Rao"/>
    <x v="2"/>
    <s v="G2"/>
    <s v="2023-07-01"/>
    <s v="2024-09-15"/>
    <n v="48000"/>
    <x v="1"/>
    <x v="1"/>
    <x v="7"/>
  </r>
  <r>
    <s v="E109"/>
    <s v="Divya Menon"/>
    <x v="3"/>
    <s v="G1"/>
    <s v="2023-08-12"/>
    <s v=""/>
    <n v="30000"/>
    <x v="0"/>
    <x v="0"/>
    <x v="8"/>
  </r>
  <r>
    <s v="E110"/>
    <s v="Aditya Kapoor"/>
    <x v="1"/>
    <s v="G3"/>
    <s v="2023-02-05"/>
    <s v=""/>
    <n v="64000"/>
    <x v="0"/>
    <x v="0"/>
    <x v="9"/>
  </r>
  <r>
    <s v="E111"/>
    <s v="Meera Pillai"/>
    <x v="0"/>
    <s v="G1"/>
    <s v="2023-09-01"/>
    <s v=""/>
    <n v="31000"/>
    <x v="0"/>
    <x v="0"/>
    <x v="10"/>
  </r>
  <r>
    <s v="E112"/>
    <s v="Rahul Joshi"/>
    <x v="2"/>
    <s v="G3"/>
    <s v="2022-12-01"/>
    <s v=""/>
    <n v="62000"/>
    <x v="0"/>
    <x v="0"/>
    <x v="11"/>
  </r>
  <r>
    <s v="E113"/>
    <s v="Isha Desai"/>
    <x v="3"/>
    <s v="G2"/>
    <s v="2023-10-15"/>
    <s v=""/>
    <n v="50000"/>
    <x v="1"/>
    <x v="0"/>
    <x v="12"/>
  </r>
  <r>
    <s v="E114"/>
    <s v="Nikhil Bhatt"/>
    <x v="0"/>
    <s v="G2"/>
    <s v="2023-11-01"/>
    <s v="2024-12-01"/>
    <n v="53000"/>
    <x v="0"/>
    <x v="1"/>
    <x v="13"/>
  </r>
  <r>
    <s v="E115"/>
    <s v="Pooja Agarwal"/>
    <x v="1"/>
    <s v="G1"/>
    <s v="2024-01-10"/>
    <s v=""/>
    <n v="33000"/>
    <x v="1"/>
    <x v="0"/>
    <x v="14"/>
  </r>
  <r>
    <s v="E116"/>
    <s v="Sanjay Kulkarni"/>
    <x v="2"/>
    <s v="G4"/>
    <s v="2022-06-01"/>
    <s v=""/>
    <n v="91000"/>
    <x v="1"/>
    <x v="0"/>
    <x v="15"/>
  </r>
  <r>
    <s v="E117"/>
    <s v="Tanvi Chopra"/>
    <x v="3"/>
    <s v="G4"/>
    <s v="2022-09-20"/>
    <s v=""/>
    <n v="93000"/>
    <x v="0"/>
    <x v="0"/>
    <x v="16"/>
  </r>
  <r>
    <s v="E118"/>
    <s v="Manoj Pandey"/>
    <x v="0"/>
    <s v="G3"/>
    <s v="2023-03-25"/>
    <s v=""/>
    <n v="66000"/>
    <x v="1"/>
    <x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3B82A4-32DE-477F-80EC-0E50B5A1BBE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N15" firstHeaderRow="1" firstDataRow="3" firstDataCol="1"/>
  <pivotFields count="10">
    <pivotField dataField="1" showAll="0"/>
    <pivotField showAll="0"/>
    <pivotField axis="axisRow" showAll="0">
      <items count="5">
        <item x="0"/>
        <item x="3"/>
        <item x="1"/>
        <item x="2"/>
        <item t="default"/>
      </items>
    </pivotField>
    <pivotField showAll="0"/>
    <pivotField showAll="0"/>
    <pivotField showAll="0"/>
    <pivotField dataField="1" showAll="0"/>
    <pivotField axis="axisCol" showAll="0">
      <items count="3">
        <item x="0"/>
        <item x="1"/>
        <item t="default"/>
      </items>
    </pivotField>
    <pivotField axis="axisRow" showAll="0">
      <items count="3">
        <item x="0"/>
        <item x="1"/>
        <item t="default"/>
      </items>
    </pivotField>
    <pivotField numFmtId="14" showAll="0">
      <items count="19">
        <item x="15"/>
        <item x="6"/>
        <item x="16"/>
        <item x="5"/>
        <item x="11"/>
        <item x="0"/>
        <item x="9"/>
        <item x="1"/>
        <item x="17"/>
        <item x="2"/>
        <item x="3"/>
        <item x="4"/>
        <item x="7"/>
        <item x="8"/>
        <item x="10"/>
        <item x="12"/>
        <item x="13"/>
        <item x="14"/>
        <item t="default"/>
      </items>
    </pivotField>
  </pivotFields>
  <rowFields count="2">
    <field x="8"/>
    <field x="2"/>
  </rowFields>
  <rowItems count="10">
    <i>
      <x/>
    </i>
    <i r="1">
      <x/>
    </i>
    <i r="1">
      <x v="1"/>
    </i>
    <i r="1">
      <x v="2"/>
    </i>
    <i r="1">
      <x v="3"/>
    </i>
    <i>
      <x v="1"/>
    </i>
    <i r="1">
      <x/>
    </i>
    <i r="1">
      <x v="2"/>
    </i>
    <i r="1">
      <x v="3"/>
    </i>
    <i t="grand">
      <x/>
    </i>
  </rowItems>
  <colFields count="2">
    <field x="7"/>
    <field x="-2"/>
  </colFields>
  <colItems count="6">
    <i>
      <x/>
      <x/>
    </i>
    <i r="1" i="1">
      <x v="1"/>
    </i>
    <i>
      <x v="1"/>
      <x/>
    </i>
    <i r="1" i="1">
      <x v="1"/>
    </i>
    <i t="grand">
      <x/>
    </i>
    <i t="grand" i="1">
      <x/>
    </i>
  </colItems>
  <dataFields count="2">
    <dataField name="Count of Employee ID" fld="0" subtotal="count" baseField="0" baseItem="0"/>
    <dataField name="Average of Monthly Pay" fld="6"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C49D06-BE7B-4672-80C6-A46674A9641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2:G34" firstHeaderRow="1" firstDataRow="3" firstDataCol="1"/>
  <pivotFields count="10">
    <pivotField dataField="1" showAll="0"/>
    <pivotField showAll="0"/>
    <pivotField axis="axisRow" showAll="0">
      <items count="5">
        <item x="0"/>
        <item x="3"/>
        <item x="1"/>
        <item x="2"/>
        <item t="default"/>
      </items>
    </pivotField>
    <pivotField showAll="0"/>
    <pivotField showAll="0"/>
    <pivotField showAll="0"/>
    <pivotField dataField="1" showAll="0"/>
    <pivotField axis="axisCol" showAll="0">
      <items count="3">
        <item x="0"/>
        <item x="1"/>
        <item t="default"/>
      </items>
    </pivotField>
    <pivotField axis="axisRow" showAll="0">
      <items count="3">
        <item x="0"/>
        <item x="1"/>
        <item t="default"/>
      </items>
    </pivotField>
    <pivotField numFmtId="14" showAll="0">
      <items count="19">
        <item x="15"/>
        <item x="6"/>
        <item x="16"/>
        <item x="5"/>
        <item x="11"/>
        <item x="0"/>
        <item x="9"/>
        <item x="1"/>
        <item x="17"/>
        <item x="2"/>
        <item x="3"/>
        <item x="4"/>
        <item x="7"/>
        <item x="8"/>
        <item x="10"/>
        <item x="12"/>
        <item x="13"/>
        <item x="14"/>
        <item t="default"/>
      </items>
    </pivotField>
  </pivotFields>
  <rowFields count="2">
    <field x="8"/>
    <field x="2"/>
  </rowFields>
  <rowItems count="10">
    <i>
      <x/>
    </i>
    <i r="1">
      <x/>
    </i>
    <i r="1">
      <x v="1"/>
    </i>
    <i r="1">
      <x v="2"/>
    </i>
    <i r="1">
      <x v="3"/>
    </i>
    <i>
      <x v="1"/>
    </i>
    <i r="1">
      <x/>
    </i>
    <i r="1">
      <x v="2"/>
    </i>
    <i r="1">
      <x v="3"/>
    </i>
    <i t="grand">
      <x/>
    </i>
  </rowItems>
  <colFields count="2">
    <field x="7"/>
    <field x="-2"/>
  </colFields>
  <colItems count="6">
    <i>
      <x/>
      <x/>
    </i>
    <i r="1" i="1">
      <x v="1"/>
    </i>
    <i>
      <x v="1"/>
      <x/>
    </i>
    <i r="1" i="1">
      <x v="1"/>
    </i>
    <i t="grand">
      <x/>
    </i>
    <i t="grand" i="1">
      <x/>
    </i>
  </colItems>
  <dataFields count="2">
    <dataField name="Count of Employee ID" fld="0" subtotal="count" baseField="0" baseItem="0"/>
    <dataField name="Average of Monthly Pay" fld="6"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DFC027-CC64-43FF-9413-080B58FA12E9}" sourceName="Region">
  <pivotTables>
    <pivotTable tabId="6" name="PivotTable1"/>
    <pivotTable tabId="10" name="PivotTable2"/>
  </pivotTables>
  <data>
    <tabular pivotCacheId="15640998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4A016B-4EF2-41BD-86CB-704E5500F353}"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4E382B-D99F-4A8D-9547-33DFAC3CC2F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03996-ADEF-4BD5-B49D-096CAF745412}" name="Q1Table" displayName="Q1Table" ref="A3:J21" totalsRowShown="0" headerRowDxfId="9">
  <autoFilter ref="A3:J21" xr:uid="{87103996-ADEF-4BD5-B49D-096CAF745412}"/>
  <tableColumns count="10">
    <tableColumn id="1" xr3:uid="{FA417AD3-1972-486D-8205-DD28F5BFD73D}" name="Employee ID">
      <calculatedColumnFormula>'Sheet1 - Dataset'!A2</calculatedColumnFormula>
    </tableColumn>
    <tableColumn id="2" xr3:uid="{319C2B25-80E3-4E41-8D6A-760FCE53B047}" name="Name (Cleaned)">
      <calculatedColumnFormula>PROPER(TRIM('Sheet1 - Dataset'!B2))</calculatedColumnFormula>
    </tableColumn>
    <tableColumn id="3" xr3:uid="{FDFCE8D3-86F9-4429-8DFE-2330B273415B}" name="Department">
      <calculatedColumnFormula>'Sheet1 - Dataset'!C2</calculatedColumnFormula>
    </tableColumn>
    <tableColumn id="4" xr3:uid="{4F151934-960E-4659-A7B8-7A43C0E84132}" name="Grade">
      <calculatedColumnFormula>'Sheet1 - Dataset'!D2</calculatedColumnFormula>
    </tableColumn>
    <tableColumn id="5" xr3:uid="{B3F58BB9-2B9E-4C70-9F79-E034AC979F35}" name="Join Date" dataDxfId="8">
      <calculatedColumnFormula>'Sheet1 - Dataset'!E2</calculatedColumnFormula>
    </tableColumn>
    <tableColumn id="6" xr3:uid="{FC921BCA-009C-4767-89A2-80AB9A0B49C3}" name="Exit Date" dataDxfId="7">
      <calculatedColumnFormula>IF('Sheet1 - Dataset'!F2="","",'Sheet1 - Dataset'!F2)</calculatedColumnFormula>
    </tableColumn>
    <tableColumn id="7" xr3:uid="{9E5F54D3-B262-4CF2-9814-22CAAAA8E981}" name="Monthly Pay">
      <calculatedColumnFormula>'Sheet1 - Dataset'!G2</calculatedColumnFormula>
    </tableColumn>
    <tableColumn id="8" xr3:uid="{EA52B6DA-FFA7-43AB-92E9-F7B94968CCC8}" name="Region">
      <calculatedColumnFormula>'Sheet1 - Dataset'!H2</calculatedColumnFormula>
    </tableColumn>
    <tableColumn id="9" xr3:uid="{8EA11C58-CC54-4983-B346-EBE76C4E2877}" name="Status">
      <calculatedColumnFormula>IF(F4="","Active","Exited")</calculatedColumnFormula>
    </tableColumn>
    <tableColumn id="10" xr3:uid="{18A53E48-0571-4A63-BE2C-4CC7516CADC6}" name="Join Date (Date)" dataDxfId="6">
      <calculatedColumnFormula>DATEVALUE(E4)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88E5AB-7AA3-4D4C-B0DD-FB1124159505}" name="Table2" displayName="Table2" ref="A3:G21" totalsRowShown="0" headerRowDxfId="5">
  <autoFilter ref="A3:G21" xr:uid="{0788E5AB-7AA3-4D4C-B0DD-FB1124159505}"/>
  <tableColumns count="7">
    <tableColumn id="1" xr3:uid="{0E8A3BC3-68B4-4031-ACE2-28AA52AE27C1}" name="Employee ID">
      <calculatedColumnFormula>'Sheet2 - Q1 Answer'!A4</calculatedColumnFormula>
    </tableColumn>
    <tableColumn id="2" xr3:uid="{E283B4F2-6D1D-4D83-9D8B-5CB5686EE86F}" name="Name" dataDxfId="4">
      <calculatedColumnFormula>PROPER(TRIM('Sheet1 - Dataset'!B2))</calculatedColumnFormula>
    </tableColumn>
    <tableColumn id="3" xr3:uid="{9086F05F-FC9A-4603-A0D9-47AEEE4ED65B}" name="Department">
      <calculatedColumnFormula>'Sheet2 - Q1 Answer'!C4</calculatedColumnFormula>
    </tableColumn>
    <tableColumn id="4" xr3:uid="{E44650D9-C079-4561-BBAB-936D326E5056}" name="Region">
      <calculatedColumnFormula>'Sheet2 - Q1 Answer'!H4</calculatedColumnFormula>
    </tableColumn>
    <tableColumn id="5" xr3:uid="{DC9E8BA0-0436-41EB-B549-4512D9E27081}" name="Monthly Pay" dataDxfId="3">
      <calculatedColumnFormula>'Sheet2 - Q1 Answer'!G4</calculatedColumnFormula>
    </tableColumn>
    <tableColumn id="6" xr3:uid="{D5B6C092-E026-475A-BD68-8D8FF9B2C836}" name="Status (IF)" dataDxfId="2">
      <calculatedColumnFormula>IF('Sheet2 - Q1 Answer'!F4="","Active","Exited")</calculatedColumnFormula>
    </tableColumn>
    <tableColumn id="7" xr3:uid="{8CE630CA-91F8-44E4-B3BE-A6EFBB417364}" name="Pay Band (Nested IF)">
      <calculatedColumnFormula>IF(E4&gt;=80000,"High",IF(E4&gt;=50000,"Mid","Low"))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__Date" xr10:uid="{B57BD641-9A58-4202-A6F9-04358279DAA7}" sourceName="Join Date (Date)">
  <pivotTables>
    <pivotTable tabId="6" name="PivotTable1"/>
    <pivotTable tabId="10" name="PivotTable2"/>
  </pivotTables>
  <state minimalRefreshVersion="6" lastRefreshVersion="6" pivotCacheId="1564099859"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Date)" xr10:uid="{684667F4-C811-4092-9DC5-B9A55F17B628}" cache="NativeTimeline_Join_Date__Date" caption="Join Date (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Date) 1" xr10:uid="{77228B9C-FEFB-433B-9F78-CA6B9BE0BEAF}" cache="NativeTimeline_Join_Date__Date" caption="Join Date (Date)" level="2" selectionLevel="2" scrollPosition="2024-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zoomScaleNormal="100" workbookViewId="0">
      <selection activeCell="K2" sqref="K2"/>
    </sheetView>
  </sheetViews>
  <sheetFormatPr defaultColWidth="8.6640625" defaultRowHeight="14.4" x14ac:dyDescent="0.3"/>
  <cols>
    <col min="1" max="1" width="10" customWidth="1"/>
    <col min="2" max="2" width="18" customWidth="1"/>
    <col min="3" max="3" width="14" customWidth="1"/>
    <col min="4" max="4" width="8" customWidth="1"/>
    <col min="5" max="7" width="12" customWidth="1"/>
    <col min="8" max="8" width="10" customWidth="1"/>
  </cols>
  <sheetData>
    <row r="1" spans="1:17" ht="15" customHeight="1" x14ac:dyDescent="0.3">
      <c r="A1" s="1" t="s">
        <v>0</v>
      </c>
      <c r="B1" s="1" t="s">
        <v>1</v>
      </c>
      <c r="C1" s="1" t="s">
        <v>2</v>
      </c>
      <c r="D1" s="1" t="s">
        <v>3</v>
      </c>
      <c r="E1" s="1" t="s">
        <v>4</v>
      </c>
      <c r="F1" s="1" t="s">
        <v>5</v>
      </c>
      <c r="G1" s="1" t="s">
        <v>6</v>
      </c>
      <c r="H1" s="1" t="s">
        <v>7</v>
      </c>
      <c r="J1" s="2" t="s">
        <v>8</v>
      </c>
      <c r="M1" s="2" t="s">
        <v>9</v>
      </c>
    </row>
    <row r="2" spans="1:17" ht="15" customHeight="1" x14ac:dyDescent="0.3">
      <c r="A2" t="s">
        <v>10</v>
      </c>
      <c r="B2" t="s">
        <v>11</v>
      </c>
      <c r="C2" t="s">
        <v>12</v>
      </c>
      <c r="D2" t="s">
        <v>13</v>
      </c>
      <c r="E2" t="s">
        <v>14</v>
      </c>
      <c r="G2">
        <v>68000</v>
      </c>
      <c r="H2" t="s">
        <v>15</v>
      </c>
      <c r="J2" s="1" t="s">
        <v>2</v>
      </c>
      <c r="K2" s="1" t="s">
        <v>16</v>
      </c>
      <c r="M2" s="1" t="s">
        <v>3</v>
      </c>
      <c r="N2" s="1" t="s">
        <v>17</v>
      </c>
      <c r="O2" s="1" t="s">
        <v>18</v>
      </c>
      <c r="P2" s="1" t="s">
        <v>13</v>
      </c>
      <c r="Q2" s="1" t="s">
        <v>19</v>
      </c>
    </row>
    <row r="3" spans="1:17" ht="15" customHeight="1" x14ac:dyDescent="0.3">
      <c r="A3" t="s">
        <v>20</v>
      </c>
      <c r="B3" t="s">
        <v>21</v>
      </c>
      <c r="C3" t="s">
        <v>22</v>
      </c>
      <c r="D3" t="s">
        <v>18</v>
      </c>
      <c r="E3" t="s">
        <v>23</v>
      </c>
      <c r="F3" t="s">
        <v>24</v>
      </c>
      <c r="G3">
        <v>45000</v>
      </c>
      <c r="H3" t="s">
        <v>25</v>
      </c>
      <c r="J3" t="s">
        <v>12</v>
      </c>
      <c r="K3" t="s">
        <v>26</v>
      </c>
      <c r="M3" t="s">
        <v>27</v>
      </c>
      <c r="N3">
        <v>12</v>
      </c>
      <c r="O3">
        <v>15</v>
      </c>
      <c r="P3">
        <v>18</v>
      </c>
      <c r="Q3">
        <v>22</v>
      </c>
    </row>
    <row r="4" spans="1:17" ht="15" customHeight="1" x14ac:dyDescent="0.3">
      <c r="A4" t="s">
        <v>28</v>
      </c>
      <c r="B4" t="s">
        <v>29</v>
      </c>
      <c r="C4" t="s">
        <v>12</v>
      </c>
      <c r="D4" t="s">
        <v>18</v>
      </c>
      <c r="E4" t="s">
        <v>30</v>
      </c>
      <c r="G4">
        <v>52000</v>
      </c>
      <c r="H4" t="s">
        <v>25</v>
      </c>
      <c r="J4" t="s">
        <v>22</v>
      </c>
      <c r="K4" t="s">
        <v>31</v>
      </c>
    </row>
    <row r="5" spans="1:17" ht="15" customHeight="1" x14ac:dyDescent="0.3">
      <c r="A5" t="s">
        <v>32</v>
      </c>
      <c r="B5" t="s">
        <v>33</v>
      </c>
      <c r="C5" t="s">
        <v>34</v>
      </c>
      <c r="D5" t="s">
        <v>17</v>
      </c>
      <c r="E5" t="s">
        <v>35</v>
      </c>
      <c r="G5">
        <v>32000</v>
      </c>
      <c r="H5" t="s">
        <v>25</v>
      </c>
      <c r="J5" t="s">
        <v>34</v>
      </c>
      <c r="K5" t="s">
        <v>36</v>
      </c>
    </row>
    <row r="6" spans="1:17" ht="15" customHeight="1" x14ac:dyDescent="0.3">
      <c r="A6" t="s">
        <v>37</v>
      </c>
      <c r="B6" t="s">
        <v>38</v>
      </c>
      <c r="C6" t="s">
        <v>39</v>
      </c>
      <c r="D6" t="s">
        <v>13</v>
      </c>
      <c r="E6" t="s">
        <v>40</v>
      </c>
      <c r="G6">
        <v>61000</v>
      </c>
      <c r="H6" t="s">
        <v>15</v>
      </c>
      <c r="J6" t="s">
        <v>39</v>
      </c>
      <c r="K6" t="s">
        <v>41</v>
      </c>
    </row>
    <row r="7" spans="1:17" ht="15" customHeight="1" x14ac:dyDescent="0.3">
      <c r="A7" t="s">
        <v>42</v>
      </c>
      <c r="B7" t="s">
        <v>43</v>
      </c>
      <c r="C7" t="s">
        <v>22</v>
      </c>
      <c r="D7" t="s">
        <v>19</v>
      </c>
      <c r="E7" t="s">
        <v>44</v>
      </c>
      <c r="G7">
        <v>89000</v>
      </c>
      <c r="H7" t="s">
        <v>25</v>
      </c>
    </row>
    <row r="8" spans="1:17" ht="15" customHeight="1" x14ac:dyDescent="0.3">
      <c r="A8" t="s">
        <v>45</v>
      </c>
      <c r="B8" t="s">
        <v>46</v>
      </c>
      <c r="C8" t="s">
        <v>12</v>
      </c>
      <c r="D8" t="s">
        <v>19</v>
      </c>
      <c r="E8" t="s">
        <v>47</v>
      </c>
      <c r="G8">
        <v>95000</v>
      </c>
      <c r="H8" t="s">
        <v>15</v>
      </c>
    </row>
    <row r="9" spans="1:17" ht="15" customHeight="1" x14ac:dyDescent="0.3">
      <c r="A9" t="s">
        <v>48</v>
      </c>
      <c r="B9" t="s">
        <v>49</v>
      </c>
      <c r="C9" t="s">
        <v>34</v>
      </c>
      <c r="D9" t="s">
        <v>18</v>
      </c>
      <c r="E9" t="s">
        <v>50</v>
      </c>
      <c r="F9" t="s">
        <v>51</v>
      </c>
      <c r="G9">
        <v>48000</v>
      </c>
      <c r="H9" t="s">
        <v>25</v>
      </c>
    </row>
    <row r="10" spans="1:17" ht="15" customHeight="1" x14ac:dyDescent="0.3">
      <c r="A10" t="s">
        <v>52</v>
      </c>
      <c r="B10" t="s">
        <v>53</v>
      </c>
      <c r="C10" t="s">
        <v>39</v>
      </c>
      <c r="D10" t="s">
        <v>17</v>
      </c>
      <c r="E10" t="s">
        <v>54</v>
      </c>
      <c r="G10">
        <v>30000</v>
      </c>
      <c r="H10" t="s">
        <v>15</v>
      </c>
    </row>
    <row r="11" spans="1:17" ht="15" customHeight="1" x14ac:dyDescent="0.3">
      <c r="A11" t="s">
        <v>55</v>
      </c>
      <c r="B11" t="s">
        <v>56</v>
      </c>
      <c r="C11" t="s">
        <v>22</v>
      </c>
      <c r="D11" t="s">
        <v>13</v>
      </c>
      <c r="E11" t="s">
        <v>57</v>
      </c>
      <c r="G11">
        <v>64000</v>
      </c>
      <c r="H11" t="s">
        <v>15</v>
      </c>
    </row>
    <row r="12" spans="1:17" ht="15" customHeight="1" x14ac:dyDescent="0.3">
      <c r="A12" t="s">
        <v>58</v>
      </c>
      <c r="B12" t="s">
        <v>59</v>
      </c>
      <c r="C12" t="s">
        <v>12</v>
      </c>
      <c r="D12" t="s">
        <v>17</v>
      </c>
      <c r="E12" t="s">
        <v>60</v>
      </c>
      <c r="G12">
        <v>31000</v>
      </c>
      <c r="H12" t="s">
        <v>15</v>
      </c>
    </row>
    <row r="13" spans="1:17" ht="15" customHeight="1" x14ac:dyDescent="0.3">
      <c r="A13" t="s">
        <v>61</v>
      </c>
      <c r="B13" t="s">
        <v>62</v>
      </c>
      <c r="C13" t="s">
        <v>34</v>
      </c>
      <c r="D13" t="s">
        <v>13</v>
      </c>
      <c r="E13" t="s">
        <v>63</v>
      </c>
      <c r="G13">
        <v>62000</v>
      </c>
      <c r="H13" t="s">
        <v>15</v>
      </c>
    </row>
    <row r="14" spans="1:17" ht="15" customHeight="1" x14ac:dyDescent="0.3">
      <c r="A14" t="s">
        <v>64</v>
      </c>
      <c r="B14" t="s">
        <v>65</v>
      </c>
      <c r="C14" t="s">
        <v>39</v>
      </c>
      <c r="D14" t="s">
        <v>18</v>
      </c>
      <c r="E14" t="s">
        <v>66</v>
      </c>
      <c r="G14">
        <v>50000</v>
      </c>
      <c r="H14" t="s">
        <v>25</v>
      </c>
    </row>
    <row r="15" spans="1:17" ht="15" customHeight="1" x14ac:dyDescent="0.3">
      <c r="A15" t="s">
        <v>67</v>
      </c>
      <c r="B15" t="s">
        <v>68</v>
      </c>
      <c r="C15" t="s">
        <v>12</v>
      </c>
      <c r="D15" t="s">
        <v>18</v>
      </c>
      <c r="E15" t="s">
        <v>69</v>
      </c>
      <c r="F15" t="s">
        <v>70</v>
      </c>
      <c r="G15">
        <v>53000</v>
      </c>
      <c r="H15" t="s">
        <v>15</v>
      </c>
    </row>
    <row r="16" spans="1:17" ht="15" customHeight="1" x14ac:dyDescent="0.3">
      <c r="A16" t="s">
        <v>71</v>
      </c>
      <c r="B16" t="s">
        <v>72</v>
      </c>
      <c r="C16" t="s">
        <v>22</v>
      </c>
      <c r="D16" t="s">
        <v>17</v>
      </c>
      <c r="E16" t="s">
        <v>73</v>
      </c>
      <c r="G16">
        <v>33000</v>
      </c>
      <c r="H16" t="s">
        <v>25</v>
      </c>
    </row>
    <row r="17" spans="1:8" ht="15" customHeight="1" x14ac:dyDescent="0.3">
      <c r="A17" t="s">
        <v>74</v>
      </c>
      <c r="B17" t="s">
        <v>75</v>
      </c>
      <c r="C17" t="s">
        <v>34</v>
      </c>
      <c r="D17" t="s">
        <v>19</v>
      </c>
      <c r="E17" t="s">
        <v>76</v>
      </c>
      <c r="G17">
        <v>91000</v>
      </c>
      <c r="H17" t="s">
        <v>25</v>
      </c>
    </row>
    <row r="18" spans="1:8" ht="15" customHeight="1" x14ac:dyDescent="0.3">
      <c r="A18" t="s">
        <v>77</v>
      </c>
      <c r="B18" t="s">
        <v>78</v>
      </c>
      <c r="C18" t="s">
        <v>39</v>
      </c>
      <c r="D18" t="s">
        <v>19</v>
      </c>
      <c r="E18" t="s">
        <v>79</v>
      </c>
      <c r="G18">
        <v>93000</v>
      </c>
      <c r="H18" t="s">
        <v>15</v>
      </c>
    </row>
    <row r="19" spans="1:8" ht="15" customHeight="1" x14ac:dyDescent="0.3">
      <c r="A19" t="s">
        <v>80</v>
      </c>
      <c r="B19" t="s">
        <v>81</v>
      </c>
      <c r="C19" t="s">
        <v>12</v>
      </c>
      <c r="D19" t="s">
        <v>13</v>
      </c>
      <c r="E19" t="s">
        <v>82</v>
      </c>
      <c r="G19">
        <v>66000</v>
      </c>
      <c r="H19"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zoomScaleNormal="100" workbookViewId="0">
      <selection activeCell="B9" sqref="B9"/>
    </sheetView>
  </sheetViews>
  <sheetFormatPr defaultColWidth="8.6640625" defaultRowHeight="14.4" x14ac:dyDescent="0.3"/>
  <cols>
    <col min="1" max="1" width="14.6640625" customWidth="1"/>
    <col min="2" max="2" width="18" customWidth="1"/>
    <col min="3" max="3" width="14.33203125" customWidth="1"/>
    <col min="4" max="4" width="8.5546875" customWidth="1"/>
    <col min="5" max="5" width="11.44140625" customWidth="1"/>
    <col min="6" max="6" width="11.33203125" customWidth="1"/>
    <col min="7" max="7" width="14.5546875" customWidth="1"/>
    <col min="8" max="8" width="33.33203125" customWidth="1"/>
    <col min="10" max="10" width="10.33203125" bestFit="1" customWidth="1"/>
  </cols>
  <sheetData>
    <row r="1" spans="1:10" ht="21.75" customHeight="1" x14ac:dyDescent="0.3">
      <c r="A1" s="43" t="s">
        <v>83</v>
      </c>
      <c r="B1" s="44"/>
      <c r="C1" s="44"/>
      <c r="D1" s="44"/>
      <c r="E1" s="44"/>
      <c r="F1" s="44"/>
      <c r="G1" s="44"/>
      <c r="H1" s="44"/>
    </row>
    <row r="3" spans="1:10" ht="15" customHeight="1" x14ac:dyDescent="0.3">
      <c r="A3" s="1" t="s">
        <v>0</v>
      </c>
      <c r="B3" s="1" t="s">
        <v>84</v>
      </c>
      <c r="C3" s="1" t="s">
        <v>2</v>
      </c>
      <c r="D3" s="1" t="s">
        <v>3</v>
      </c>
      <c r="E3" s="1" t="s">
        <v>4</v>
      </c>
      <c r="F3" s="1" t="s">
        <v>5</v>
      </c>
      <c r="G3" s="1" t="s">
        <v>6</v>
      </c>
      <c r="H3" s="1" t="s">
        <v>7</v>
      </c>
      <c r="I3" s="35" t="s">
        <v>132</v>
      </c>
      <c r="J3" s="1" t="s">
        <v>141</v>
      </c>
    </row>
    <row r="4" spans="1:10" ht="15" customHeight="1" x14ac:dyDescent="0.3">
      <c r="A4" t="str">
        <f>'Sheet1 - Dataset'!A2</f>
        <v>E101</v>
      </c>
      <c r="B4" t="str">
        <f>PROPER(TRIM('Sheet1 - Dataset'!B2))</f>
        <v>Priya Sharma</v>
      </c>
      <c r="C4" t="str">
        <f>'Sheet1 - Dataset'!C2</f>
        <v>Engineering</v>
      </c>
      <c r="D4" t="str">
        <f>'Sheet1 - Dataset'!D2</f>
        <v>G3</v>
      </c>
      <c r="E4" s="34" t="str">
        <f>'Sheet1 - Dataset'!E2</f>
        <v>2023-01-15</v>
      </c>
      <c r="F4" s="34" t="str">
        <f>IF('Sheet1 - Dataset'!F2="","",'Sheet1 - Dataset'!F2)</f>
        <v/>
      </c>
      <c r="G4">
        <f>'Sheet1 - Dataset'!G2</f>
        <v>68000</v>
      </c>
      <c r="H4" t="str">
        <f>'Sheet1 - Dataset'!H2</f>
        <v>North</v>
      </c>
      <c r="I4" t="str">
        <f>IF(F4="","Active","Exited")</f>
        <v>Active</v>
      </c>
      <c r="J4" s="34">
        <f t="shared" ref="J4:J21" si="0">DATEVALUE(E4)</f>
        <v>44941</v>
      </c>
    </row>
    <row r="5" spans="1:10" ht="15" customHeight="1" x14ac:dyDescent="0.3">
      <c r="A5" t="str">
        <f>'Sheet1 - Dataset'!A3</f>
        <v>E102</v>
      </c>
      <c r="B5" t="str">
        <f>PROPER(TRIM('Sheet1 - Dataset'!B3))</f>
        <v>Arjun Mehta</v>
      </c>
      <c r="C5" t="str">
        <f>'Sheet1 - Dataset'!C3</f>
        <v>Sales</v>
      </c>
      <c r="D5" t="str">
        <f>'Sheet1 - Dataset'!D3</f>
        <v>G2</v>
      </c>
      <c r="E5" s="34" t="str">
        <f>'Sheet1 - Dataset'!E3</f>
        <v>2023-03-01</v>
      </c>
      <c r="F5" s="34" t="str">
        <f>IF('Sheet1 - Dataset'!F3="","",'Sheet1 - Dataset'!F3)</f>
        <v>2024-06-30</v>
      </c>
      <c r="G5">
        <f>'Sheet1 - Dataset'!G3</f>
        <v>45000</v>
      </c>
      <c r="H5" t="str">
        <f>'Sheet1 - Dataset'!H3</f>
        <v>South</v>
      </c>
      <c r="I5" t="str">
        <f t="shared" ref="I5:I21" si="1">IF(F5="","Active","Exited")</f>
        <v>Exited</v>
      </c>
      <c r="J5" s="34">
        <f t="shared" si="0"/>
        <v>44986</v>
      </c>
    </row>
    <row r="6" spans="1:10" ht="15" customHeight="1" x14ac:dyDescent="0.3">
      <c r="A6" t="str">
        <f>'Sheet1 - Dataset'!A4</f>
        <v>E103</v>
      </c>
      <c r="B6" t="str">
        <f>PROPER(TRIM('Sheet1 - Dataset'!B4))</f>
        <v>Kavya Reddy</v>
      </c>
      <c r="C6" t="str">
        <f>'Sheet1 - Dataset'!C4</f>
        <v>Engineering</v>
      </c>
      <c r="D6" t="str">
        <f>'Sheet1 - Dataset'!D4</f>
        <v>G2</v>
      </c>
      <c r="E6" s="34" t="str">
        <f>'Sheet1 - Dataset'!E4</f>
        <v>2023-04-10</v>
      </c>
      <c r="F6" s="34" t="str">
        <f>IF('Sheet1 - Dataset'!F4="","",'Sheet1 - Dataset'!F4)</f>
        <v/>
      </c>
      <c r="G6">
        <f>'Sheet1 - Dataset'!G4</f>
        <v>52000</v>
      </c>
      <c r="H6" t="str">
        <f>'Sheet1 - Dataset'!H4</f>
        <v>South</v>
      </c>
      <c r="I6" t="str">
        <f t="shared" si="1"/>
        <v>Active</v>
      </c>
      <c r="J6" s="34">
        <f t="shared" si="0"/>
        <v>45026</v>
      </c>
    </row>
    <row r="7" spans="1:10" ht="15" customHeight="1" x14ac:dyDescent="0.3">
      <c r="A7" t="str">
        <f>'Sheet1 - Dataset'!A5</f>
        <v>E104</v>
      </c>
      <c r="B7" t="str">
        <f>PROPER(TRIM('Sheet1 - Dataset'!B5))</f>
        <v>Rohit Verma</v>
      </c>
      <c r="C7" t="str">
        <f>'Sheet1 - Dataset'!C5</f>
        <v>Support</v>
      </c>
      <c r="D7" t="str">
        <f>'Sheet1 - Dataset'!D5</f>
        <v>G1</v>
      </c>
      <c r="E7" s="34" t="str">
        <f>'Sheet1 - Dataset'!E5</f>
        <v>2023-05-20</v>
      </c>
      <c r="F7" s="34" t="str">
        <f>IF('Sheet1 - Dataset'!F5="","",'Sheet1 - Dataset'!F5)</f>
        <v/>
      </c>
      <c r="G7">
        <f>'Sheet1 - Dataset'!G5</f>
        <v>32000</v>
      </c>
      <c r="H7" t="str">
        <f>'Sheet1 - Dataset'!H5</f>
        <v>South</v>
      </c>
      <c r="I7" t="str">
        <f t="shared" si="1"/>
        <v>Active</v>
      </c>
      <c r="J7" s="34">
        <f t="shared" si="0"/>
        <v>45066</v>
      </c>
    </row>
    <row r="8" spans="1:10" ht="15" customHeight="1" x14ac:dyDescent="0.3">
      <c r="A8" t="str">
        <f>'Sheet1 - Dataset'!A6</f>
        <v>E105</v>
      </c>
      <c r="B8" t="str">
        <f>PROPER(TRIM('Sheet1 - Dataset'!B6))</f>
        <v>Sneha Iyer</v>
      </c>
      <c r="C8" t="str">
        <f>'Sheet1 - Dataset'!C6</f>
        <v>Marketing</v>
      </c>
      <c r="D8" t="str">
        <f>'Sheet1 - Dataset'!D6</f>
        <v>G3</v>
      </c>
      <c r="E8" s="34" t="str">
        <f>'Sheet1 - Dataset'!E6</f>
        <v>2023-06-01</v>
      </c>
      <c r="F8" s="34" t="str">
        <f>IF('Sheet1 - Dataset'!F6="","",'Sheet1 - Dataset'!F6)</f>
        <v/>
      </c>
      <c r="G8">
        <f>'Sheet1 - Dataset'!G6</f>
        <v>61000</v>
      </c>
      <c r="H8" t="str">
        <f>'Sheet1 - Dataset'!H6</f>
        <v>North</v>
      </c>
      <c r="I8" t="str">
        <f t="shared" si="1"/>
        <v>Active</v>
      </c>
      <c r="J8" s="34">
        <f t="shared" si="0"/>
        <v>45078</v>
      </c>
    </row>
    <row r="9" spans="1:10" ht="15" customHeight="1" x14ac:dyDescent="0.3">
      <c r="A9" t="str">
        <f>'Sheet1 - Dataset'!A7</f>
        <v>E106</v>
      </c>
      <c r="B9" t="str">
        <f>PROPER(TRIM('Sheet1 - Dataset'!B7))</f>
        <v>Vikram Singh</v>
      </c>
      <c r="C9" t="str">
        <f>'Sheet1 - Dataset'!C7</f>
        <v>Sales</v>
      </c>
      <c r="D9" t="str">
        <f>'Sheet1 - Dataset'!D7</f>
        <v>G4</v>
      </c>
      <c r="E9" s="34" t="str">
        <f>'Sheet1 - Dataset'!E7</f>
        <v>2022-11-11</v>
      </c>
      <c r="F9" s="34" t="str">
        <f>IF('Sheet1 - Dataset'!F7="","",'Sheet1 - Dataset'!F7)</f>
        <v/>
      </c>
      <c r="G9">
        <f>'Sheet1 - Dataset'!G7</f>
        <v>89000</v>
      </c>
      <c r="H9" t="str">
        <f>'Sheet1 - Dataset'!H7</f>
        <v>South</v>
      </c>
      <c r="I9" t="str">
        <f t="shared" si="1"/>
        <v>Active</v>
      </c>
      <c r="J9" s="34">
        <f t="shared" si="0"/>
        <v>44876</v>
      </c>
    </row>
    <row r="10" spans="1:10" ht="15" customHeight="1" x14ac:dyDescent="0.3">
      <c r="A10" t="str">
        <f>'Sheet1 - Dataset'!A8</f>
        <v>E107</v>
      </c>
      <c r="B10" t="str">
        <f>PROPER(TRIM('Sheet1 - Dataset'!B8))</f>
        <v>Ananya Nair</v>
      </c>
      <c r="C10" t="str">
        <f>'Sheet1 - Dataset'!C8</f>
        <v>Engineering</v>
      </c>
      <c r="D10" t="str">
        <f>'Sheet1 - Dataset'!D8</f>
        <v>G4</v>
      </c>
      <c r="E10" s="34" t="str">
        <f>'Sheet1 - Dataset'!E8</f>
        <v>2022-08-15</v>
      </c>
      <c r="F10" s="34" t="str">
        <f>IF('Sheet1 - Dataset'!F8="","",'Sheet1 - Dataset'!F8)</f>
        <v/>
      </c>
      <c r="G10">
        <f>'Sheet1 - Dataset'!G8</f>
        <v>95000</v>
      </c>
      <c r="H10" t="str">
        <f>'Sheet1 - Dataset'!H8</f>
        <v>North</v>
      </c>
      <c r="I10" t="str">
        <f t="shared" si="1"/>
        <v>Active</v>
      </c>
      <c r="J10" s="34">
        <f t="shared" si="0"/>
        <v>44788</v>
      </c>
    </row>
    <row r="11" spans="1:10" ht="15" customHeight="1" x14ac:dyDescent="0.3">
      <c r="A11" t="str">
        <f>'Sheet1 - Dataset'!A9</f>
        <v>E108</v>
      </c>
      <c r="B11" t="str">
        <f>PROPER(TRIM('Sheet1 - Dataset'!B9))</f>
        <v>Karthik Rao</v>
      </c>
      <c r="C11" t="str">
        <f>'Sheet1 - Dataset'!C9</f>
        <v>Support</v>
      </c>
      <c r="D11" t="str">
        <f>'Sheet1 - Dataset'!D9</f>
        <v>G2</v>
      </c>
      <c r="E11" s="34" t="str">
        <f>'Sheet1 - Dataset'!E9</f>
        <v>2023-07-01</v>
      </c>
      <c r="F11" s="34" t="str">
        <f>IF('Sheet1 - Dataset'!F9="","",'Sheet1 - Dataset'!F9)</f>
        <v>2024-09-15</v>
      </c>
      <c r="G11">
        <f>'Sheet1 - Dataset'!G9</f>
        <v>48000</v>
      </c>
      <c r="H11" t="str">
        <f>'Sheet1 - Dataset'!H9</f>
        <v>South</v>
      </c>
      <c r="I11" t="str">
        <f t="shared" si="1"/>
        <v>Exited</v>
      </c>
      <c r="J11" s="34">
        <f t="shared" si="0"/>
        <v>45108</v>
      </c>
    </row>
    <row r="12" spans="1:10" ht="15" customHeight="1" x14ac:dyDescent="0.3">
      <c r="A12" t="str">
        <f>'Sheet1 - Dataset'!A10</f>
        <v>E109</v>
      </c>
      <c r="B12" t="str">
        <f>PROPER(TRIM('Sheet1 - Dataset'!B10))</f>
        <v>Divya Menon</v>
      </c>
      <c r="C12" t="str">
        <f>'Sheet1 - Dataset'!C10</f>
        <v>Marketing</v>
      </c>
      <c r="D12" t="str">
        <f>'Sheet1 - Dataset'!D10</f>
        <v>G1</v>
      </c>
      <c r="E12" s="34" t="str">
        <f>'Sheet1 - Dataset'!E10</f>
        <v>2023-08-12</v>
      </c>
      <c r="F12" s="34" t="str">
        <f>IF('Sheet1 - Dataset'!F10="","",'Sheet1 - Dataset'!F10)</f>
        <v/>
      </c>
      <c r="G12">
        <f>'Sheet1 - Dataset'!G10</f>
        <v>30000</v>
      </c>
      <c r="H12" t="str">
        <f>'Sheet1 - Dataset'!H10</f>
        <v>North</v>
      </c>
      <c r="I12" t="str">
        <f t="shared" si="1"/>
        <v>Active</v>
      </c>
      <c r="J12" s="34">
        <f t="shared" si="0"/>
        <v>45150</v>
      </c>
    </row>
    <row r="13" spans="1:10" ht="15" customHeight="1" x14ac:dyDescent="0.3">
      <c r="A13" t="str">
        <f>'Sheet1 - Dataset'!A11</f>
        <v>E110</v>
      </c>
      <c r="B13" t="str">
        <f>PROPER(TRIM('Sheet1 - Dataset'!B11))</f>
        <v>Aditya Kapoor</v>
      </c>
      <c r="C13" t="str">
        <f>'Sheet1 - Dataset'!C11</f>
        <v>Sales</v>
      </c>
      <c r="D13" t="str">
        <f>'Sheet1 - Dataset'!D11</f>
        <v>G3</v>
      </c>
      <c r="E13" s="34" t="str">
        <f>'Sheet1 - Dataset'!E11</f>
        <v>2023-02-05</v>
      </c>
      <c r="F13" s="34" t="str">
        <f>IF('Sheet1 - Dataset'!F11="","",'Sheet1 - Dataset'!F11)</f>
        <v/>
      </c>
      <c r="G13">
        <f>'Sheet1 - Dataset'!G11</f>
        <v>64000</v>
      </c>
      <c r="H13" t="str">
        <f>'Sheet1 - Dataset'!H11</f>
        <v>North</v>
      </c>
      <c r="I13" t="str">
        <f t="shared" si="1"/>
        <v>Active</v>
      </c>
      <c r="J13" s="34">
        <f t="shared" si="0"/>
        <v>44962</v>
      </c>
    </row>
    <row r="14" spans="1:10" ht="15" customHeight="1" x14ac:dyDescent="0.3">
      <c r="A14" t="str">
        <f>'Sheet1 - Dataset'!A12</f>
        <v>E111</v>
      </c>
      <c r="B14" t="str">
        <f>PROPER(TRIM('Sheet1 - Dataset'!B12))</f>
        <v>Meera Pillai</v>
      </c>
      <c r="C14" t="str">
        <f>'Sheet1 - Dataset'!C12</f>
        <v>Engineering</v>
      </c>
      <c r="D14" t="str">
        <f>'Sheet1 - Dataset'!D12</f>
        <v>G1</v>
      </c>
      <c r="E14" s="34" t="str">
        <f>'Sheet1 - Dataset'!E12</f>
        <v>2023-09-01</v>
      </c>
      <c r="F14" s="34" t="str">
        <f>IF('Sheet1 - Dataset'!F12="","",'Sheet1 - Dataset'!F12)</f>
        <v/>
      </c>
      <c r="G14">
        <f>'Sheet1 - Dataset'!G12</f>
        <v>31000</v>
      </c>
      <c r="H14" t="str">
        <f>'Sheet1 - Dataset'!H12</f>
        <v>North</v>
      </c>
      <c r="I14" t="str">
        <f t="shared" si="1"/>
        <v>Active</v>
      </c>
      <c r="J14" s="34">
        <f t="shared" si="0"/>
        <v>45170</v>
      </c>
    </row>
    <row r="15" spans="1:10" ht="15" customHeight="1" x14ac:dyDescent="0.3">
      <c r="A15" t="str">
        <f>'Sheet1 - Dataset'!A13</f>
        <v>E112</v>
      </c>
      <c r="B15" t="str">
        <f>PROPER(TRIM('Sheet1 - Dataset'!B13))</f>
        <v>Rahul Joshi</v>
      </c>
      <c r="C15" t="str">
        <f>'Sheet1 - Dataset'!C13</f>
        <v>Support</v>
      </c>
      <c r="D15" t="str">
        <f>'Sheet1 - Dataset'!D13</f>
        <v>G3</v>
      </c>
      <c r="E15" s="34" t="str">
        <f>'Sheet1 - Dataset'!E13</f>
        <v>2022-12-01</v>
      </c>
      <c r="F15" s="34" t="str">
        <f>IF('Sheet1 - Dataset'!F13="","",'Sheet1 - Dataset'!F13)</f>
        <v/>
      </c>
      <c r="G15">
        <f>'Sheet1 - Dataset'!G13</f>
        <v>62000</v>
      </c>
      <c r="H15" t="str">
        <f>'Sheet1 - Dataset'!H13</f>
        <v>North</v>
      </c>
      <c r="I15" t="str">
        <f t="shared" si="1"/>
        <v>Active</v>
      </c>
      <c r="J15" s="34">
        <f t="shared" si="0"/>
        <v>44896</v>
      </c>
    </row>
    <row r="16" spans="1:10" ht="15" customHeight="1" x14ac:dyDescent="0.3">
      <c r="A16" t="str">
        <f>'Sheet1 - Dataset'!A14</f>
        <v>E113</v>
      </c>
      <c r="B16" t="str">
        <f>PROPER(TRIM('Sheet1 - Dataset'!B14))</f>
        <v>Isha Desai</v>
      </c>
      <c r="C16" t="str">
        <f>'Sheet1 - Dataset'!C14</f>
        <v>Marketing</v>
      </c>
      <c r="D16" t="str">
        <f>'Sheet1 - Dataset'!D14</f>
        <v>G2</v>
      </c>
      <c r="E16" s="34" t="str">
        <f>'Sheet1 - Dataset'!E14</f>
        <v>2023-10-15</v>
      </c>
      <c r="F16" s="34" t="str">
        <f>IF('Sheet1 - Dataset'!F14="","",'Sheet1 - Dataset'!F14)</f>
        <v/>
      </c>
      <c r="G16">
        <f>'Sheet1 - Dataset'!G14</f>
        <v>50000</v>
      </c>
      <c r="H16" t="str">
        <f>'Sheet1 - Dataset'!H14</f>
        <v>South</v>
      </c>
      <c r="I16" t="str">
        <f t="shared" si="1"/>
        <v>Active</v>
      </c>
      <c r="J16" s="34">
        <f t="shared" si="0"/>
        <v>45214</v>
      </c>
    </row>
    <row r="17" spans="1:10" ht="15" customHeight="1" x14ac:dyDescent="0.3">
      <c r="A17" t="str">
        <f>'Sheet1 - Dataset'!A15</f>
        <v>E114</v>
      </c>
      <c r="B17" t="str">
        <f>PROPER(TRIM('Sheet1 - Dataset'!B15))</f>
        <v>Nikhil Bhatt</v>
      </c>
      <c r="C17" t="str">
        <f>'Sheet1 - Dataset'!C15</f>
        <v>Engineering</v>
      </c>
      <c r="D17" t="str">
        <f>'Sheet1 - Dataset'!D15</f>
        <v>G2</v>
      </c>
      <c r="E17" s="34" t="str">
        <f>'Sheet1 - Dataset'!E15</f>
        <v>2023-11-01</v>
      </c>
      <c r="F17" s="34" t="str">
        <f>IF('Sheet1 - Dataset'!F15="","",'Sheet1 - Dataset'!F15)</f>
        <v>2024-12-01</v>
      </c>
      <c r="G17">
        <f>'Sheet1 - Dataset'!G15</f>
        <v>53000</v>
      </c>
      <c r="H17" t="str">
        <f>'Sheet1 - Dataset'!H15</f>
        <v>North</v>
      </c>
      <c r="I17" t="str">
        <f t="shared" si="1"/>
        <v>Exited</v>
      </c>
      <c r="J17" s="34">
        <f t="shared" si="0"/>
        <v>45231</v>
      </c>
    </row>
    <row r="18" spans="1:10" ht="15" customHeight="1" x14ac:dyDescent="0.3">
      <c r="A18" t="str">
        <f>'Sheet1 - Dataset'!A16</f>
        <v>E115</v>
      </c>
      <c r="B18" t="str">
        <f>PROPER(TRIM('Sheet1 - Dataset'!B16))</f>
        <v>Pooja Agarwal</v>
      </c>
      <c r="C18" t="str">
        <f>'Sheet1 - Dataset'!C16</f>
        <v>Sales</v>
      </c>
      <c r="D18" t="str">
        <f>'Sheet1 - Dataset'!D16</f>
        <v>G1</v>
      </c>
      <c r="E18" s="34" t="str">
        <f>'Sheet1 - Dataset'!E16</f>
        <v>2024-01-10</v>
      </c>
      <c r="F18" s="34" t="str">
        <f>IF('Sheet1 - Dataset'!F16="","",'Sheet1 - Dataset'!F16)</f>
        <v/>
      </c>
      <c r="G18">
        <f>'Sheet1 - Dataset'!G16</f>
        <v>33000</v>
      </c>
      <c r="H18" t="str">
        <f>'Sheet1 - Dataset'!H16</f>
        <v>South</v>
      </c>
      <c r="I18" t="str">
        <f t="shared" si="1"/>
        <v>Active</v>
      </c>
      <c r="J18" s="34">
        <f t="shared" si="0"/>
        <v>45301</v>
      </c>
    </row>
    <row r="19" spans="1:10" ht="15" customHeight="1" x14ac:dyDescent="0.3">
      <c r="A19" t="str">
        <f>'Sheet1 - Dataset'!A17</f>
        <v>E116</v>
      </c>
      <c r="B19" t="str">
        <f>PROPER(TRIM('Sheet1 - Dataset'!B17))</f>
        <v>Sanjay Kulkarni</v>
      </c>
      <c r="C19" t="str">
        <f>'Sheet1 - Dataset'!C17</f>
        <v>Support</v>
      </c>
      <c r="D19" t="str">
        <f>'Sheet1 - Dataset'!D17</f>
        <v>G4</v>
      </c>
      <c r="E19" s="34" t="str">
        <f>'Sheet1 - Dataset'!E17</f>
        <v>2022-06-01</v>
      </c>
      <c r="F19" s="34" t="str">
        <f>IF('Sheet1 - Dataset'!F17="","",'Sheet1 - Dataset'!F17)</f>
        <v/>
      </c>
      <c r="G19">
        <f>'Sheet1 - Dataset'!G17</f>
        <v>91000</v>
      </c>
      <c r="H19" t="str">
        <f>'Sheet1 - Dataset'!H17</f>
        <v>South</v>
      </c>
      <c r="I19" t="str">
        <f t="shared" si="1"/>
        <v>Active</v>
      </c>
      <c r="J19" s="34">
        <f t="shared" si="0"/>
        <v>44713</v>
      </c>
    </row>
    <row r="20" spans="1:10" ht="15" customHeight="1" x14ac:dyDescent="0.3">
      <c r="A20" t="str">
        <f>'Sheet1 - Dataset'!A18</f>
        <v>E117</v>
      </c>
      <c r="B20" t="str">
        <f>PROPER(TRIM('Sheet1 - Dataset'!B18))</f>
        <v>Tanvi Chopra</v>
      </c>
      <c r="C20" t="str">
        <f>'Sheet1 - Dataset'!C18</f>
        <v>Marketing</v>
      </c>
      <c r="D20" t="str">
        <f>'Sheet1 - Dataset'!D18</f>
        <v>G4</v>
      </c>
      <c r="E20" s="34" t="str">
        <f>'Sheet1 - Dataset'!E18</f>
        <v>2022-09-20</v>
      </c>
      <c r="F20" s="34" t="str">
        <f>IF('Sheet1 - Dataset'!F18="","",'Sheet1 - Dataset'!F18)</f>
        <v/>
      </c>
      <c r="G20">
        <f>'Sheet1 - Dataset'!G18</f>
        <v>93000</v>
      </c>
      <c r="H20" t="str">
        <f>'Sheet1 - Dataset'!H18</f>
        <v>North</v>
      </c>
      <c r="I20" t="str">
        <f t="shared" si="1"/>
        <v>Active</v>
      </c>
      <c r="J20" s="34">
        <f t="shared" si="0"/>
        <v>44824</v>
      </c>
    </row>
    <row r="21" spans="1:10" ht="15" customHeight="1" x14ac:dyDescent="0.3">
      <c r="A21" t="str">
        <f>'Sheet1 - Dataset'!A19</f>
        <v>E118</v>
      </c>
      <c r="B21" t="str">
        <f>PROPER(TRIM('Sheet1 - Dataset'!B19))</f>
        <v>Manoj Pandey</v>
      </c>
      <c r="C21" t="str">
        <f>'Sheet1 - Dataset'!C19</f>
        <v>Engineering</v>
      </c>
      <c r="D21" t="str">
        <f>'Sheet1 - Dataset'!D19</f>
        <v>G3</v>
      </c>
      <c r="E21" s="34" t="str">
        <f>'Sheet1 - Dataset'!E19</f>
        <v>2023-03-25</v>
      </c>
      <c r="F21" s="34" t="str">
        <f>IF('Sheet1 - Dataset'!F19="","",'Sheet1 - Dataset'!F19)</f>
        <v/>
      </c>
      <c r="G21">
        <f>'Sheet1 - Dataset'!G19</f>
        <v>66000</v>
      </c>
      <c r="H21" t="str">
        <f>'Sheet1 - Dataset'!H19</f>
        <v>South</v>
      </c>
      <c r="I21" t="str">
        <f t="shared" si="1"/>
        <v>Active</v>
      </c>
      <c r="J21" s="34">
        <f t="shared" si="0"/>
        <v>45010</v>
      </c>
    </row>
  </sheetData>
  <mergeCells count="1">
    <mergeCell ref="A1:H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topLeftCell="E2" zoomScaleNormal="100" workbookViewId="0">
      <selection activeCell="E11" sqref="E11"/>
    </sheetView>
  </sheetViews>
  <sheetFormatPr defaultColWidth="8.6640625" defaultRowHeight="14.4" x14ac:dyDescent="0.3"/>
  <cols>
    <col min="1" max="1" width="14.6640625" customWidth="1"/>
    <col min="2" max="2" width="18" customWidth="1"/>
    <col min="3" max="3" width="14.33203125" customWidth="1"/>
    <col min="4" max="4" width="10" customWidth="1"/>
    <col min="5" max="5" width="14.5546875" customWidth="1"/>
    <col min="6" max="6" width="12.44140625" customWidth="1"/>
    <col min="7" max="7" width="22.33203125" customWidth="1"/>
    <col min="10" max="10" width="46.21875" customWidth="1"/>
    <col min="11" max="11" width="10" customWidth="1"/>
  </cols>
  <sheetData>
    <row r="1" spans="1:11" ht="21.75" customHeight="1" x14ac:dyDescent="0.3">
      <c r="A1" s="43" t="s">
        <v>85</v>
      </c>
      <c r="B1" s="44"/>
      <c r="C1" s="44"/>
      <c r="D1" s="44"/>
      <c r="E1" s="44"/>
      <c r="F1" s="44"/>
      <c r="G1" s="44"/>
      <c r="H1" s="44"/>
    </row>
    <row r="3" spans="1:11" ht="15" customHeight="1" x14ac:dyDescent="0.3">
      <c r="A3" s="1" t="s">
        <v>0</v>
      </c>
      <c r="B3" s="1" t="s">
        <v>1</v>
      </c>
      <c r="C3" s="1" t="s">
        <v>2</v>
      </c>
      <c r="D3" s="1" t="s">
        <v>7</v>
      </c>
      <c r="E3" s="1" t="s">
        <v>6</v>
      </c>
      <c r="F3" s="36" t="s">
        <v>86</v>
      </c>
      <c r="G3" s="1" t="s">
        <v>87</v>
      </c>
      <c r="J3" s="3" t="s">
        <v>88</v>
      </c>
    </row>
    <row r="4" spans="1:11" ht="15" customHeight="1" x14ac:dyDescent="0.3">
      <c r="A4" t="str">
        <f>'Sheet2 - Q1 Answer'!A4</f>
        <v>E101</v>
      </c>
      <c r="B4" t="str">
        <f>PROPER(TRIM('Sheet1 - Dataset'!B2))</f>
        <v>Priya Sharma</v>
      </c>
      <c r="C4" t="str">
        <f>'Sheet2 - Q1 Answer'!C4</f>
        <v>Engineering</v>
      </c>
      <c r="D4" t="str">
        <f>'Sheet2 - Q1 Answer'!H4</f>
        <v>North</v>
      </c>
      <c r="E4" s="34">
        <f>'Sheet2 - Q1 Answer'!G4</f>
        <v>68000</v>
      </c>
      <c r="F4" s="34" t="str">
        <f>IF('Sheet2 - Q1 Answer'!F4="","Active","Exited")</f>
        <v>Active</v>
      </c>
      <c r="G4" t="str">
        <f>IF(E4&gt;=80000,"High",IF(E4&gt;=50000,"Mid","Low"))</f>
        <v>Mid</v>
      </c>
    </row>
    <row r="5" spans="1:11" ht="17.25" customHeight="1" x14ac:dyDescent="0.3">
      <c r="A5" t="str">
        <f>'Sheet2 - Q1 Answer'!A5</f>
        <v>E102</v>
      </c>
      <c r="B5" t="str">
        <f>PROPER(TRIM('Sheet1 - Dataset'!B3))</f>
        <v>Arjun Mehta</v>
      </c>
      <c r="C5" t="str">
        <f>'Sheet2 - Q1 Answer'!C5</f>
        <v>Sales</v>
      </c>
      <c r="D5" t="str">
        <f>'Sheet2 - Q1 Answer'!H5</f>
        <v>South</v>
      </c>
      <c r="E5" s="34">
        <f>'Sheet2 - Q1 Answer'!G5</f>
        <v>45000</v>
      </c>
      <c r="F5" s="34" t="str">
        <f>IF('Sheet2 - Q1 Answer'!F5="","Active","Exited")</f>
        <v>Exited</v>
      </c>
      <c r="G5" t="str">
        <f t="shared" ref="G5:G21" si="0">IF(E5&gt;=80000,"High",IF(E5&gt;=50000,"Mid","Low"))</f>
        <v>Low</v>
      </c>
      <c r="J5" s="4" t="s">
        <v>89</v>
      </c>
      <c r="K5">
        <f>COUNTIFS(C4:C21,"Engineering",D4:D21,"North",F4:F21,"Active")</f>
        <v>3</v>
      </c>
    </row>
    <row r="6" spans="1:11" ht="15" customHeight="1" x14ac:dyDescent="0.3">
      <c r="A6" t="str">
        <f>'Sheet2 - Q1 Answer'!A6</f>
        <v>E103</v>
      </c>
      <c r="B6" t="str">
        <f>PROPER(TRIM('Sheet1 - Dataset'!B4))</f>
        <v>Kavya Reddy</v>
      </c>
      <c r="C6" t="str">
        <f>'Sheet2 - Q1 Answer'!C6</f>
        <v>Engineering</v>
      </c>
      <c r="D6" t="str">
        <f>'Sheet2 - Q1 Answer'!H6</f>
        <v>South</v>
      </c>
      <c r="E6" s="34">
        <f>'Sheet2 - Q1 Answer'!G6</f>
        <v>52000</v>
      </c>
      <c r="F6" s="34" t="str">
        <f>IF('Sheet2 - Q1 Answer'!F6="","Active","Exited")</f>
        <v>Active</v>
      </c>
      <c r="G6" t="str">
        <f t="shared" si="0"/>
        <v>Mid</v>
      </c>
    </row>
    <row r="7" spans="1:11" ht="15" customHeight="1" x14ac:dyDescent="0.3">
      <c r="A7" t="str">
        <f>'Sheet2 - Q1 Answer'!A7</f>
        <v>E104</v>
      </c>
      <c r="B7" t="str">
        <f>PROPER(TRIM('Sheet1 - Dataset'!B5))</f>
        <v>Rohit Verma</v>
      </c>
      <c r="C7" t="str">
        <f>'Sheet2 - Q1 Answer'!C7</f>
        <v>Support</v>
      </c>
      <c r="D7" t="str">
        <f>'Sheet2 - Q1 Answer'!H7</f>
        <v>South</v>
      </c>
      <c r="E7" s="34">
        <f>'Sheet2 - Q1 Answer'!G7</f>
        <v>32000</v>
      </c>
      <c r="F7" s="34" t="str">
        <f>IF('Sheet2 - Q1 Answer'!F7="","Active","Exited")</f>
        <v>Active</v>
      </c>
      <c r="G7" t="str">
        <f t="shared" si="0"/>
        <v>Low</v>
      </c>
    </row>
    <row r="8" spans="1:11" ht="15" customHeight="1" x14ac:dyDescent="0.3">
      <c r="A8" t="str">
        <f>'Sheet2 - Q1 Answer'!A8</f>
        <v>E105</v>
      </c>
      <c r="B8" t="str">
        <f>PROPER(TRIM('Sheet1 - Dataset'!B6))</f>
        <v>Sneha Iyer</v>
      </c>
      <c r="C8" t="str">
        <f>'Sheet2 - Q1 Answer'!C8</f>
        <v>Marketing</v>
      </c>
      <c r="D8" t="str">
        <f>'Sheet2 - Q1 Answer'!H8</f>
        <v>North</v>
      </c>
      <c r="E8" s="34">
        <f>'Sheet2 - Q1 Answer'!G8</f>
        <v>61000</v>
      </c>
      <c r="F8" s="34" t="str">
        <f>IF('Sheet2 - Q1 Answer'!F8="","Active","Exited")</f>
        <v>Active</v>
      </c>
      <c r="G8" t="str">
        <f t="shared" si="0"/>
        <v>Mid</v>
      </c>
    </row>
    <row r="9" spans="1:11" ht="15" customHeight="1" x14ac:dyDescent="0.3">
      <c r="A9" t="str">
        <f>'Sheet2 - Q1 Answer'!A9</f>
        <v>E106</v>
      </c>
      <c r="B9" t="str">
        <f>PROPER(TRIM('Sheet1 - Dataset'!B7))</f>
        <v>Vikram Singh</v>
      </c>
      <c r="C9" t="str">
        <f>'Sheet2 - Q1 Answer'!C9</f>
        <v>Sales</v>
      </c>
      <c r="D9" t="str">
        <f>'Sheet2 - Q1 Answer'!H9</f>
        <v>South</v>
      </c>
      <c r="E9" s="34">
        <f>'Sheet2 - Q1 Answer'!G9</f>
        <v>89000</v>
      </c>
      <c r="F9" s="34" t="str">
        <f>IF('Sheet2 - Q1 Answer'!F9="","Active","Exited")</f>
        <v>Active</v>
      </c>
      <c r="G9" t="str">
        <f t="shared" si="0"/>
        <v>High</v>
      </c>
    </row>
    <row r="10" spans="1:11" ht="15" customHeight="1" x14ac:dyDescent="0.3">
      <c r="A10" t="str">
        <f>'Sheet2 - Q1 Answer'!A10</f>
        <v>E107</v>
      </c>
      <c r="B10" t="str">
        <f>PROPER(TRIM('Sheet1 - Dataset'!B8))</f>
        <v>Ananya Nair</v>
      </c>
      <c r="C10" t="str">
        <f>'Sheet2 - Q1 Answer'!C10</f>
        <v>Engineering</v>
      </c>
      <c r="D10" t="str">
        <f>'Sheet2 - Q1 Answer'!H10</f>
        <v>North</v>
      </c>
      <c r="E10" s="34">
        <f>'Sheet2 - Q1 Answer'!G10</f>
        <v>95000</v>
      </c>
      <c r="F10" s="34" t="str">
        <f>IF('Sheet2 - Q1 Answer'!F10="","Active","Exited")</f>
        <v>Active</v>
      </c>
      <c r="G10" t="str">
        <f t="shared" si="0"/>
        <v>High</v>
      </c>
    </row>
    <row r="11" spans="1:11" ht="15" customHeight="1" x14ac:dyDescent="0.3">
      <c r="A11" t="str">
        <f>'Sheet2 - Q1 Answer'!A11</f>
        <v>E108</v>
      </c>
      <c r="B11" t="str">
        <f>PROPER(TRIM('Sheet1 - Dataset'!B9))</f>
        <v>Karthik Rao</v>
      </c>
      <c r="C11" t="str">
        <f>'Sheet2 - Q1 Answer'!C11</f>
        <v>Support</v>
      </c>
      <c r="D11" t="str">
        <f>'Sheet2 - Q1 Answer'!H11</f>
        <v>South</v>
      </c>
      <c r="E11" s="34">
        <f>'Sheet2 - Q1 Answer'!G11</f>
        <v>48000</v>
      </c>
      <c r="F11" s="34" t="str">
        <f>IF('Sheet2 - Q1 Answer'!F11="","Active","Exited")</f>
        <v>Exited</v>
      </c>
      <c r="G11" t="str">
        <f t="shared" si="0"/>
        <v>Low</v>
      </c>
    </row>
    <row r="12" spans="1:11" ht="15" customHeight="1" x14ac:dyDescent="0.3">
      <c r="A12" t="str">
        <f>'Sheet2 - Q1 Answer'!A12</f>
        <v>E109</v>
      </c>
      <c r="B12" t="str">
        <f>PROPER(TRIM('Sheet1 - Dataset'!B10))</f>
        <v>Divya Menon</v>
      </c>
      <c r="C12" t="str">
        <f>'Sheet2 - Q1 Answer'!C12</f>
        <v>Marketing</v>
      </c>
      <c r="D12" t="str">
        <f>'Sheet2 - Q1 Answer'!H12</f>
        <v>North</v>
      </c>
      <c r="E12" s="34">
        <f>'Sheet2 - Q1 Answer'!G12</f>
        <v>30000</v>
      </c>
      <c r="F12" s="34" t="str">
        <f>IF('Sheet2 - Q1 Answer'!F12="","Active","Exited")</f>
        <v>Active</v>
      </c>
      <c r="G12" t="str">
        <f t="shared" si="0"/>
        <v>Low</v>
      </c>
    </row>
    <row r="13" spans="1:11" ht="15" customHeight="1" x14ac:dyDescent="0.3">
      <c r="A13" t="str">
        <f>'Sheet2 - Q1 Answer'!A13</f>
        <v>E110</v>
      </c>
      <c r="B13" t="str">
        <f>PROPER(TRIM('Sheet1 - Dataset'!B11))</f>
        <v>Aditya Kapoor</v>
      </c>
      <c r="C13" t="str">
        <f>'Sheet2 - Q1 Answer'!C13</f>
        <v>Sales</v>
      </c>
      <c r="D13" t="str">
        <f>'Sheet2 - Q1 Answer'!H13</f>
        <v>North</v>
      </c>
      <c r="E13" s="34">
        <f>'Sheet2 - Q1 Answer'!G13</f>
        <v>64000</v>
      </c>
      <c r="F13" s="34" t="str">
        <f>IF('Sheet2 - Q1 Answer'!F13="","Active","Exited")</f>
        <v>Active</v>
      </c>
      <c r="G13" t="str">
        <f t="shared" si="0"/>
        <v>Mid</v>
      </c>
    </row>
    <row r="14" spans="1:11" ht="15" customHeight="1" x14ac:dyDescent="0.3">
      <c r="A14" t="str">
        <f>'Sheet2 - Q1 Answer'!A14</f>
        <v>E111</v>
      </c>
      <c r="B14" t="str">
        <f>PROPER(TRIM('Sheet1 - Dataset'!B12))</f>
        <v>Meera Pillai</v>
      </c>
      <c r="C14" t="str">
        <f>'Sheet2 - Q1 Answer'!C14</f>
        <v>Engineering</v>
      </c>
      <c r="D14" t="str">
        <f>'Sheet2 - Q1 Answer'!H14</f>
        <v>North</v>
      </c>
      <c r="E14" s="34">
        <f>'Sheet2 - Q1 Answer'!G14</f>
        <v>31000</v>
      </c>
      <c r="F14" s="34" t="str">
        <f>IF('Sheet2 - Q1 Answer'!F14="","Active","Exited")</f>
        <v>Active</v>
      </c>
      <c r="G14" t="str">
        <f t="shared" si="0"/>
        <v>Low</v>
      </c>
    </row>
    <row r="15" spans="1:11" ht="15" customHeight="1" x14ac:dyDescent="0.3">
      <c r="A15" t="str">
        <f>'Sheet2 - Q1 Answer'!A15</f>
        <v>E112</v>
      </c>
      <c r="B15" t="str">
        <f>PROPER(TRIM('Sheet1 - Dataset'!B13))</f>
        <v>Rahul Joshi</v>
      </c>
      <c r="C15" t="str">
        <f>'Sheet2 - Q1 Answer'!C15</f>
        <v>Support</v>
      </c>
      <c r="D15" t="str">
        <f>'Sheet2 - Q1 Answer'!H15</f>
        <v>North</v>
      </c>
      <c r="E15" s="34">
        <f>'Sheet2 - Q1 Answer'!G15</f>
        <v>62000</v>
      </c>
      <c r="F15" s="34" t="str">
        <f>IF('Sheet2 - Q1 Answer'!F15="","Active","Exited")</f>
        <v>Active</v>
      </c>
      <c r="G15" t="str">
        <f t="shared" si="0"/>
        <v>Mid</v>
      </c>
    </row>
    <row r="16" spans="1:11" ht="15" customHeight="1" x14ac:dyDescent="0.3">
      <c r="A16" t="str">
        <f>'Sheet2 - Q1 Answer'!A16</f>
        <v>E113</v>
      </c>
      <c r="B16" t="str">
        <f>PROPER(TRIM('Sheet1 - Dataset'!B14))</f>
        <v>Isha Desai</v>
      </c>
      <c r="C16" t="str">
        <f>'Sheet2 - Q1 Answer'!C16</f>
        <v>Marketing</v>
      </c>
      <c r="D16" t="str">
        <f>'Sheet2 - Q1 Answer'!H16</f>
        <v>South</v>
      </c>
      <c r="E16" s="34">
        <f>'Sheet2 - Q1 Answer'!G16</f>
        <v>50000</v>
      </c>
      <c r="F16" s="34" t="str">
        <f>IF('Sheet2 - Q1 Answer'!F16="","Active","Exited")</f>
        <v>Active</v>
      </c>
      <c r="G16" t="str">
        <f t="shared" si="0"/>
        <v>Mid</v>
      </c>
    </row>
    <row r="17" spans="1:7" ht="15" customHeight="1" x14ac:dyDescent="0.3">
      <c r="A17" t="str">
        <f>'Sheet2 - Q1 Answer'!A17</f>
        <v>E114</v>
      </c>
      <c r="B17" t="str">
        <f>PROPER(TRIM('Sheet1 - Dataset'!B15))</f>
        <v>Nikhil Bhatt</v>
      </c>
      <c r="C17" t="str">
        <f>'Sheet2 - Q1 Answer'!C17</f>
        <v>Engineering</v>
      </c>
      <c r="D17" t="str">
        <f>'Sheet2 - Q1 Answer'!H17</f>
        <v>North</v>
      </c>
      <c r="E17" s="34">
        <f>'Sheet2 - Q1 Answer'!G17</f>
        <v>53000</v>
      </c>
      <c r="F17" s="34" t="str">
        <f>IF('Sheet2 - Q1 Answer'!F17="","Active","Exited")</f>
        <v>Exited</v>
      </c>
      <c r="G17" t="str">
        <f t="shared" si="0"/>
        <v>Mid</v>
      </c>
    </row>
    <row r="18" spans="1:7" ht="15" customHeight="1" x14ac:dyDescent="0.3">
      <c r="A18" t="str">
        <f>'Sheet2 - Q1 Answer'!A18</f>
        <v>E115</v>
      </c>
      <c r="B18" t="str">
        <f>PROPER(TRIM('Sheet1 - Dataset'!B16))</f>
        <v>Pooja Agarwal</v>
      </c>
      <c r="C18" t="str">
        <f>'Sheet2 - Q1 Answer'!C18</f>
        <v>Sales</v>
      </c>
      <c r="D18" t="str">
        <f>'Sheet2 - Q1 Answer'!H18</f>
        <v>South</v>
      </c>
      <c r="E18" s="34">
        <f>'Sheet2 - Q1 Answer'!G18</f>
        <v>33000</v>
      </c>
      <c r="F18" s="34" t="str">
        <f>IF('Sheet2 - Q1 Answer'!F18="","Active","Exited")</f>
        <v>Active</v>
      </c>
      <c r="G18" t="str">
        <f t="shared" si="0"/>
        <v>Low</v>
      </c>
    </row>
    <row r="19" spans="1:7" ht="15" customHeight="1" x14ac:dyDescent="0.3">
      <c r="A19" t="str">
        <f>'Sheet2 - Q1 Answer'!A19</f>
        <v>E116</v>
      </c>
      <c r="B19" t="str">
        <f>PROPER(TRIM('Sheet1 - Dataset'!B17))</f>
        <v>Sanjay Kulkarni</v>
      </c>
      <c r="C19" t="str">
        <f>'Sheet2 - Q1 Answer'!C19</f>
        <v>Support</v>
      </c>
      <c r="D19" t="str">
        <f>'Sheet2 - Q1 Answer'!H19</f>
        <v>South</v>
      </c>
      <c r="E19" s="34">
        <f>'Sheet2 - Q1 Answer'!G19</f>
        <v>91000</v>
      </c>
      <c r="F19" s="34" t="str">
        <f>IF('Sheet2 - Q1 Answer'!F19="","Active","Exited")</f>
        <v>Active</v>
      </c>
      <c r="G19" t="str">
        <f t="shared" si="0"/>
        <v>High</v>
      </c>
    </row>
    <row r="20" spans="1:7" ht="15" customHeight="1" x14ac:dyDescent="0.3">
      <c r="A20" t="str">
        <f>'Sheet2 - Q1 Answer'!A20</f>
        <v>E117</v>
      </c>
      <c r="B20" t="str">
        <f>PROPER(TRIM('Sheet1 - Dataset'!B18))</f>
        <v>Tanvi Chopra</v>
      </c>
      <c r="C20" t="str">
        <f>'Sheet2 - Q1 Answer'!C20</f>
        <v>Marketing</v>
      </c>
      <c r="D20" t="str">
        <f>'Sheet2 - Q1 Answer'!H20</f>
        <v>North</v>
      </c>
      <c r="E20" s="34">
        <f>'Sheet2 - Q1 Answer'!G20</f>
        <v>93000</v>
      </c>
      <c r="F20" s="34" t="str">
        <f>IF('Sheet2 - Q1 Answer'!F20="","Active","Exited")</f>
        <v>Active</v>
      </c>
      <c r="G20" t="str">
        <f t="shared" si="0"/>
        <v>High</v>
      </c>
    </row>
    <row r="21" spans="1:7" ht="15" customHeight="1" x14ac:dyDescent="0.3">
      <c r="A21" t="str">
        <f>'Sheet2 - Q1 Answer'!A21</f>
        <v>E118</v>
      </c>
      <c r="B21" t="str">
        <f>PROPER(TRIM('Sheet1 - Dataset'!B19))</f>
        <v>Manoj Pandey</v>
      </c>
      <c r="C21" t="str">
        <f>'Sheet2 - Q1 Answer'!C21</f>
        <v>Engineering</v>
      </c>
      <c r="D21" t="str">
        <f>'Sheet2 - Q1 Answer'!H21</f>
        <v>South</v>
      </c>
      <c r="E21" s="34">
        <f>'Sheet2 - Q1 Answer'!G21</f>
        <v>66000</v>
      </c>
      <c r="F21" s="34" t="str">
        <f>IF('Sheet2 - Q1 Answer'!F21="","Active","Exited")</f>
        <v>Active</v>
      </c>
      <c r="G21" t="str">
        <f t="shared" si="0"/>
        <v>Mid</v>
      </c>
    </row>
  </sheetData>
  <mergeCells count="1">
    <mergeCell ref="A1:H1"/>
  </mergeCells>
  <conditionalFormatting sqref="F4:F21">
    <cfRule type="containsText" dxfId="1" priority="1" operator="containsText" text="Active">
      <formula>NOT(ISERROR(SEARCH("Active",F4)))</formula>
    </cfRule>
    <cfRule type="containsText" dxfId="0" priority="2" operator="containsText" text="Exited">
      <formula>NOT(ISERROR(SEARCH("Exited",F4)))</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topLeftCell="C1" zoomScaleNormal="100" workbookViewId="0">
      <selection activeCell="H6" sqref="H6"/>
    </sheetView>
  </sheetViews>
  <sheetFormatPr defaultColWidth="8.6640625" defaultRowHeight="14.4" x14ac:dyDescent="0.3"/>
  <cols>
    <col min="1" max="1" width="10" customWidth="1"/>
    <col min="2" max="2" width="18" customWidth="1"/>
    <col min="3" max="3" width="14" customWidth="1"/>
    <col min="4" max="4" width="7" customWidth="1"/>
    <col min="5" max="5" width="26" customWidth="1"/>
    <col min="6" max="6" width="22" customWidth="1"/>
  </cols>
  <sheetData>
    <row r="1" spans="1:8" ht="21.75" customHeight="1" x14ac:dyDescent="0.3">
      <c r="A1" s="43" t="s">
        <v>90</v>
      </c>
      <c r="B1" s="44"/>
      <c r="C1" s="44"/>
      <c r="D1" s="44"/>
      <c r="E1" s="44"/>
      <c r="F1" s="44"/>
      <c r="G1" s="44"/>
      <c r="H1" s="44"/>
    </row>
    <row r="3" spans="1:8" ht="15" customHeight="1" x14ac:dyDescent="0.3">
      <c r="A3" s="1" t="s">
        <v>0</v>
      </c>
      <c r="B3" s="1" t="s">
        <v>1</v>
      </c>
      <c r="C3" s="1" t="s">
        <v>2</v>
      </c>
      <c r="D3" s="1" t="s">
        <v>3</v>
      </c>
      <c r="E3" s="1" t="s">
        <v>91</v>
      </c>
      <c r="F3" s="1" t="s">
        <v>92</v>
      </c>
    </row>
    <row r="4" spans="1:8" ht="15" customHeight="1" x14ac:dyDescent="0.3">
      <c r="A4" t="str">
        <f>'Sheet2 - Q1 Answer'!A4</f>
        <v>E101</v>
      </c>
      <c r="B4" t="str">
        <f>PROPER(TRIM('Sheet1 - Dataset'!B2))</f>
        <v>Priya Sharma</v>
      </c>
      <c r="C4" t="str">
        <f>'Sheet2 - Q1 Answer'!C4</f>
        <v>Engineering</v>
      </c>
      <c r="D4" t="str">
        <f>'Sheet2 - Q1 Answer'!D4</f>
        <v>G3</v>
      </c>
      <c r="E4" t="str">
        <f>IFERROR(VLOOKUP(C4,'Sheet1 - Dataset'!$J$3:$K$6,2,FALSE),"Not found")</f>
        <v>Rahul Nair</v>
      </c>
      <c r="F4">
        <f>_xlfn.IFNA(HLOOKUP(D4,'Sheet1 - Dataset'!$M$2:$Q$3,2,FALSE),"No quota")</f>
        <v>18</v>
      </c>
    </row>
    <row r="5" spans="1:8" ht="15" customHeight="1" x14ac:dyDescent="0.3">
      <c r="A5" t="str">
        <f>'Sheet2 - Q1 Answer'!A5</f>
        <v>E102</v>
      </c>
      <c r="B5" t="str">
        <f>PROPER(TRIM('Sheet1 - Dataset'!B3))</f>
        <v>Arjun Mehta</v>
      </c>
      <c r="C5" t="str">
        <f>'Sheet2 - Q1 Answer'!C5</f>
        <v>Sales</v>
      </c>
      <c r="D5" t="str">
        <f>'Sheet2 - Q1 Answer'!D5</f>
        <v>G2</v>
      </c>
      <c r="E5" t="str">
        <f>IFERROR(VLOOKUP(C5,'Sheet1 - Dataset'!$J$3:$K$6,2,FALSE),"Not found")</f>
        <v>Anita Desai</v>
      </c>
      <c r="F5">
        <f>_xlfn.IFNA(HLOOKUP(D5,'Sheet1 - Dataset'!$M$2:$Q$3,2,FALSE),"No quota")</f>
        <v>15</v>
      </c>
    </row>
    <row r="6" spans="1:8" ht="15" customHeight="1" x14ac:dyDescent="0.3">
      <c r="A6" t="str">
        <f>'Sheet2 - Q1 Answer'!A6</f>
        <v>E103</v>
      </c>
      <c r="B6" t="str">
        <f>PROPER(TRIM('Sheet1 - Dataset'!B4))</f>
        <v>Kavya Reddy</v>
      </c>
      <c r="C6" t="str">
        <f>'Sheet2 - Q1 Answer'!C6</f>
        <v>Engineering</v>
      </c>
      <c r="D6" t="str">
        <f>'Sheet2 - Q1 Answer'!D6</f>
        <v>G2</v>
      </c>
      <c r="E6" t="str">
        <f>IFERROR(VLOOKUP(C6,'Sheet1 - Dataset'!$J$3:$K$6,2,FALSE),"Not found")</f>
        <v>Rahul Nair</v>
      </c>
      <c r="F6">
        <f>_xlfn.IFNA(HLOOKUP(D6,'Sheet1 - Dataset'!$M$2:$Q$3,2,FALSE),"No quota")</f>
        <v>15</v>
      </c>
    </row>
    <row r="7" spans="1:8" ht="15" customHeight="1" x14ac:dyDescent="0.3">
      <c r="A7" t="str">
        <f>'Sheet2 - Q1 Answer'!A7</f>
        <v>E104</v>
      </c>
      <c r="B7" t="str">
        <f>PROPER(TRIM('Sheet1 - Dataset'!B5))</f>
        <v>Rohit Verma</v>
      </c>
      <c r="C7" t="str">
        <f>'Sheet2 - Q1 Answer'!C7</f>
        <v>Support</v>
      </c>
      <c r="D7" t="str">
        <f>'Sheet2 - Q1 Answer'!D7</f>
        <v>G1</v>
      </c>
      <c r="E7" t="str">
        <f>IFERROR(VLOOKUP(C7,'Sheet1 - Dataset'!$J$3:$K$6,2,FALSE),"Not found")</f>
        <v>Vikas Menon</v>
      </c>
      <c r="F7">
        <f>_xlfn.IFNA(HLOOKUP(D7,'Sheet1 - Dataset'!$M$2:$Q$3,2,FALSE),"No quota")</f>
        <v>12</v>
      </c>
    </row>
    <row r="8" spans="1:8" ht="15" customHeight="1" x14ac:dyDescent="0.3">
      <c r="A8" t="str">
        <f>'Sheet2 - Q1 Answer'!A8</f>
        <v>E105</v>
      </c>
      <c r="B8" t="str">
        <f>PROPER(TRIM('Sheet1 - Dataset'!B6))</f>
        <v>Sneha Iyer</v>
      </c>
      <c r="C8" t="str">
        <f>'Sheet2 - Q1 Answer'!C8</f>
        <v>Marketing</v>
      </c>
      <c r="D8" t="str">
        <f>'Sheet2 - Q1 Answer'!D8</f>
        <v>G3</v>
      </c>
      <c r="E8" t="str">
        <f>IFERROR(VLOOKUP(C8,'Sheet1 - Dataset'!$J$3:$K$6,2,FALSE),"Not found")</f>
        <v>Sunita Rao</v>
      </c>
      <c r="F8">
        <f>_xlfn.IFNA(HLOOKUP(D8,'Sheet1 - Dataset'!$M$2:$Q$3,2,FALSE),"No quota")</f>
        <v>18</v>
      </c>
    </row>
    <row r="9" spans="1:8" ht="15" customHeight="1" x14ac:dyDescent="0.3">
      <c r="A9" t="str">
        <f>'Sheet2 - Q1 Answer'!A9</f>
        <v>E106</v>
      </c>
      <c r="B9" t="str">
        <f>PROPER(TRIM('Sheet1 - Dataset'!B7))</f>
        <v>Vikram Singh</v>
      </c>
      <c r="C9" t="str">
        <f>'Sheet2 - Q1 Answer'!C9</f>
        <v>Sales</v>
      </c>
      <c r="D9" t="str">
        <f>'Sheet2 - Q1 Answer'!D9</f>
        <v>G4</v>
      </c>
      <c r="E9" t="str">
        <f>IFERROR(VLOOKUP(C9,'Sheet1 - Dataset'!$J$3:$K$6,2,FALSE),"Not found")</f>
        <v>Anita Desai</v>
      </c>
      <c r="F9">
        <f>_xlfn.IFNA(HLOOKUP(D9,'Sheet1 - Dataset'!$M$2:$Q$3,2,FALSE),"No quota")</f>
        <v>22</v>
      </c>
    </row>
    <row r="10" spans="1:8" ht="15" customHeight="1" x14ac:dyDescent="0.3">
      <c r="A10" t="str">
        <f>'Sheet2 - Q1 Answer'!A10</f>
        <v>E107</v>
      </c>
      <c r="B10" t="str">
        <f>PROPER(TRIM('Sheet1 - Dataset'!B8))</f>
        <v>Ananya Nair</v>
      </c>
      <c r="C10" t="str">
        <f>'Sheet2 - Q1 Answer'!C10</f>
        <v>Engineering</v>
      </c>
      <c r="D10" t="str">
        <f>'Sheet2 - Q1 Answer'!D10</f>
        <v>G4</v>
      </c>
      <c r="E10" t="str">
        <f>IFERROR(VLOOKUP(C10,'Sheet1 - Dataset'!$J$3:$K$6,2,FALSE),"Not found")</f>
        <v>Rahul Nair</v>
      </c>
      <c r="F10">
        <f>_xlfn.IFNA(HLOOKUP(D10,'Sheet1 - Dataset'!$M$2:$Q$3,2,FALSE),"No quota")</f>
        <v>22</v>
      </c>
    </row>
    <row r="11" spans="1:8" ht="15" customHeight="1" x14ac:dyDescent="0.3">
      <c r="A11" t="str">
        <f>'Sheet2 - Q1 Answer'!A11</f>
        <v>E108</v>
      </c>
      <c r="B11" t="str">
        <f>PROPER(TRIM('Sheet1 - Dataset'!B9))</f>
        <v>Karthik Rao</v>
      </c>
      <c r="C11" t="str">
        <f>'Sheet2 - Q1 Answer'!C11</f>
        <v>Support</v>
      </c>
      <c r="D11" t="str">
        <f>'Sheet2 - Q1 Answer'!D11</f>
        <v>G2</v>
      </c>
      <c r="E11" t="str">
        <f>IFERROR(VLOOKUP(C11,'Sheet1 - Dataset'!$J$3:$K$6,2,FALSE),"Not found")</f>
        <v>Vikas Menon</v>
      </c>
      <c r="F11">
        <f>_xlfn.IFNA(HLOOKUP(D11,'Sheet1 - Dataset'!$M$2:$Q$3,2,FALSE),"No quota")</f>
        <v>15</v>
      </c>
    </row>
    <row r="12" spans="1:8" ht="15" customHeight="1" x14ac:dyDescent="0.3">
      <c r="A12" t="str">
        <f>'Sheet2 - Q1 Answer'!A12</f>
        <v>E109</v>
      </c>
      <c r="B12" t="str">
        <f>PROPER(TRIM('Sheet1 - Dataset'!B10))</f>
        <v>Divya Menon</v>
      </c>
      <c r="C12" t="str">
        <f>'Sheet2 - Q1 Answer'!C12</f>
        <v>Marketing</v>
      </c>
      <c r="D12" t="str">
        <f>'Sheet2 - Q1 Answer'!D12</f>
        <v>G1</v>
      </c>
      <c r="E12" t="str">
        <f>IFERROR(VLOOKUP(C12,'Sheet1 - Dataset'!$J$3:$K$6,2,FALSE),"Not found")</f>
        <v>Sunita Rao</v>
      </c>
      <c r="F12">
        <f>_xlfn.IFNA(HLOOKUP(D12,'Sheet1 - Dataset'!$M$2:$Q$3,2,FALSE),"No quota")</f>
        <v>12</v>
      </c>
    </row>
    <row r="13" spans="1:8" ht="15" customHeight="1" x14ac:dyDescent="0.3">
      <c r="A13" t="str">
        <f>'Sheet2 - Q1 Answer'!A13</f>
        <v>E110</v>
      </c>
      <c r="B13" t="str">
        <f>PROPER(TRIM('Sheet1 - Dataset'!B11))</f>
        <v>Aditya Kapoor</v>
      </c>
      <c r="C13" t="str">
        <f>'Sheet2 - Q1 Answer'!C13</f>
        <v>Sales</v>
      </c>
      <c r="D13" t="str">
        <f>'Sheet2 - Q1 Answer'!D13</f>
        <v>G3</v>
      </c>
      <c r="E13" t="str">
        <f>IFERROR(VLOOKUP(C13,'Sheet1 - Dataset'!$J$3:$K$6,2,FALSE),"Not found")</f>
        <v>Anita Desai</v>
      </c>
      <c r="F13">
        <f>_xlfn.IFNA(HLOOKUP(D13,'Sheet1 - Dataset'!$M$2:$Q$3,2,FALSE),"No quota")</f>
        <v>18</v>
      </c>
    </row>
    <row r="14" spans="1:8" ht="15" customHeight="1" x14ac:dyDescent="0.3">
      <c r="A14" t="str">
        <f>'Sheet2 - Q1 Answer'!A14</f>
        <v>E111</v>
      </c>
      <c r="B14" t="str">
        <f>PROPER(TRIM('Sheet1 - Dataset'!B12))</f>
        <v>Meera Pillai</v>
      </c>
      <c r="C14" t="str">
        <f>'Sheet2 - Q1 Answer'!C14</f>
        <v>Engineering</v>
      </c>
      <c r="D14" t="str">
        <f>'Sheet2 - Q1 Answer'!D14</f>
        <v>G1</v>
      </c>
      <c r="E14" t="str">
        <f>IFERROR(VLOOKUP(C14,'Sheet1 - Dataset'!$J$3:$K$6,2,FALSE),"Not found")</f>
        <v>Rahul Nair</v>
      </c>
      <c r="F14">
        <f>_xlfn.IFNA(HLOOKUP(D14,'Sheet1 - Dataset'!$M$2:$Q$3,2,FALSE),"No quota")</f>
        <v>12</v>
      </c>
    </row>
    <row r="15" spans="1:8" ht="15" customHeight="1" x14ac:dyDescent="0.3">
      <c r="A15" t="str">
        <f>'Sheet2 - Q1 Answer'!A15</f>
        <v>E112</v>
      </c>
      <c r="B15" t="str">
        <f>PROPER(TRIM('Sheet1 - Dataset'!B13))</f>
        <v>Rahul Joshi</v>
      </c>
      <c r="C15" t="str">
        <f>'Sheet2 - Q1 Answer'!C15</f>
        <v>Support</v>
      </c>
      <c r="D15" t="str">
        <f>'Sheet2 - Q1 Answer'!D15</f>
        <v>G3</v>
      </c>
      <c r="E15" t="str">
        <f>IFERROR(VLOOKUP(C15,'Sheet1 - Dataset'!$J$3:$K$6,2,FALSE),"Not found")</f>
        <v>Vikas Menon</v>
      </c>
      <c r="F15">
        <f>_xlfn.IFNA(HLOOKUP(D15,'Sheet1 - Dataset'!$M$2:$Q$3,2,FALSE),"No quota")</f>
        <v>18</v>
      </c>
    </row>
    <row r="16" spans="1:8" ht="15" customHeight="1" x14ac:dyDescent="0.3">
      <c r="A16" t="str">
        <f>'Sheet2 - Q1 Answer'!A16</f>
        <v>E113</v>
      </c>
      <c r="B16" t="str">
        <f>PROPER(TRIM('Sheet1 - Dataset'!B14))</f>
        <v>Isha Desai</v>
      </c>
      <c r="C16" t="str">
        <f>'Sheet2 - Q1 Answer'!C16</f>
        <v>Marketing</v>
      </c>
      <c r="D16" t="str">
        <f>'Sheet2 - Q1 Answer'!D16</f>
        <v>G2</v>
      </c>
      <c r="E16" t="str">
        <f>IFERROR(VLOOKUP(C16,'Sheet1 - Dataset'!$J$3:$K$6,2,FALSE),"Not found")</f>
        <v>Sunita Rao</v>
      </c>
      <c r="F16">
        <f>_xlfn.IFNA(HLOOKUP(D16,'Sheet1 - Dataset'!$M$2:$Q$3,2,FALSE),"No quota")</f>
        <v>15</v>
      </c>
    </row>
    <row r="17" spans="1:6" ht="15" customHeight="1" x14ac:dyDescent="0.3">
      <c r="A17" t="str">
        <f>'Sheet2 - Q1 Answer'!A17</f>
        <v>E114</v>
      </c>
      <c r="B17" t="str">
        <f>PROPER(TRIM('Sheet1 - Dataset'!B15))</f>
        <v>Nikhil Bhatt</v>
      </c>
      <c r="C17" t="str">
        <f>'Sheet2 - Q1 Answer'!C17</f>
        <v>Engineering</v>
      </c>
      <c r="D17" t="str">
        <f>'Sheet2 - Q1 Answer'!D17</f>
        <v>G2</v>
      </c>
      <c r="E17" t="str">
        <f>IFERROR(VLOOKUP(C17,'Sheet1 - Dataset'!$J$3:$K$6,2,FALSE),"Not found")</f>
        <v>Rahul Nair</v>
      </c>
      <c r="F17">
        <f>_xlfn.IFNA(HLOOKUP(D17,'Sheet1 - Dataset'!$M$2:$Q$3,2,FALSE),"No quota")</f>
        <v>15</v>
      </c>
    </row>
    <row r="18" spans="1:6" ht="15" customHeight="1" x14ac:dyDescent="0.3">
      <c r="A18" t="str">
        <f>'Sheet2 - Q1 Answer'!A18</f>
        <v>E115</v>
      </c>
      <c r="B18" t="str">
        <f>PROPER(TRIM('Sheet1 - Dataset'!B16))</f>
        <v>Pooja Agarwal</v>
      </c>
      <c r="C18" t="str">
        <f>'Sheet2 - Q1 Answer'!C18</f>
        <v>Sales</v>
      </c>
      <c r="D18" t="str">
        <f>'Sheet2 - Q1 Answer'!D18</f>
        <v>G1</v>
      </c>
      <c r="E18" t="str">
        <f>IFERROR(VLOOKUP(C18,'Sheet1 - Dataset'!$J$3:$K$6,2,FALSE),"Not found")</f>
        <v>Anita Desai</v>
      </c>
      <c r="F18">
        <f>_xlfn.IFNA(HLOOKUP(D18,'Sheet1 - Dataset'!$M$2:$Q$3,2,FALSE),"No quota")</f>
        <v>12</v>
      </c>
    </row>
    <row r="19" spans="1:6" ht="15" customHeight="1" x14ac:dyDescent="0.3">
      <c r="A19" t="str">
        <f>'Sheet2 - Q1 Answer'!A19</f>
        <v>E116</v>
      </c>
      <c r="B19" t="str">
        <f>PROPER(TRIM('Sheet1 - Dataset'!B17))</f>
        <v>Sanjay Kulkarni</v>
      </c>
      <c r="C19" t="str">
        <f>'Sheet2 - Q1 Answer'!C19</f>
        <v>Support</v>
      </c>
      <c r="D19" t="str">
        <f>'Sheet2 - Q1 Answer'!D19</f>
        <v>G4</v>
      </c>
      <c r="E19" t="str">
        <f>IFERROR(VLOOKUP(C19,'Sheet1 - Dataset'!$J$3:$K$6,2,FALSE),"Not found")</f>
        <v>Vikas Menon</v>
      </c>
      <c r="F19">
        <f>_xlfn.IFNA(HLOOKUP(D19,'Sheet1 - Dataset'!$M$2:$Q$3,2,FALSE),"No quota")</f>
        <v>22</v>
      </c>
    </row>
    <row r="20" spans="1:6" ht="15" customHeight="1" x14ac:dyDescent="0.3">
      <c r="A20" t="str">
        <f>'Sheet2 - Q1 Answer'!A20</f>
        <v>E117</v>
      </c>
      <c r="B20" t="str">
        <f>PROPER(TRIM('Sheet1 - Dataset'!B18))</f>
        <v>Tanvi Chopra</v>
      </c>
      <c r="C20" t="str">
        <f>'Sheet2 - Q1 Answer'!C20</f>
        <v>Marketing</v>
      </c>
      <c r="D20" t="str">
        <f>'Sheet2 - Q1 Answer'!D20</f>
        <v>G4</v>
      </c>
      <c r="E20" t="str">
        <f>IFERROR(VLOOKUP(C20,'Sheet1 - Dataset'!$J$3:$K$6,2,FALSE),"Not found")</f>
        <v>Sunita Rao</v>
      </c>
      <c r="F20">
        <f>_xlfn.IFNA(HLOOKUP(D20,'Sheet1 - Dataset'!$M$2:$Q$3,2,FALSE),"No quota")</f>
        <v>22</v>
      </c>
    </row>
    <row r="21" spans="1:6" ht="15" customHeight="1" x14ac:dyDescent="0.3">
      <c r="A21" t="str">
        <f>'Sheet2 - Q1 Answer'!A21</f>
        <v>E118</v>
      </c>
      <c r="B21" t="str">
        <f>PROPER(TRIM('Sheet1 - Dataset'!B19))</f>
        <v>Manoj Pandey</v>
      </c>
      <c r="C21" t="str">
        <f>'Sheet2 - Q1 Answer'!C21</f>
        <v>Engineering</v>
      </c>
      <c r="D21" t="str">
        <f>'Sheet2 - Q1 Answer'!D21</f>
        <v>G3</v>
      </c>
      <c r="E21" t="str">
        <f>IFERROR(VLOOKUP(C21,'Sheet1 - Dataset'!$J$3:$K$6,2,FALSE),"Not found")</f>
        <v>Rahul Nair</v>
      </c>
      <c r="F21">
        <f>_xlfn.IFNA(HLOOKUP(D21,'Sheet1 - Dataset'!$M$2:$Q$3,2,FALSE),"No quota")</f>
        <v>18</v>
      </c>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
  <sheetViews>
    <sheetView zoomScaleNormal="100" workbookViewId="0">
      <selection activeCell="B13" sqref="B13"/>
    </sheetView>
  </sheetViews>
  <sheetFormatPr defaultColWidth="8.6640625" defaultRowHeight="14.4" x14ac:dyDescent="0.3"/>
  <cols>
    <col min="1" max="1" width="24" customWidth="1"/>
    <col min="2" max="2" width="14" customWidth="1"/>
    <col min="3" max="3" width="10" customWidth="1"/>
  </cols>
  <sheetData>
    <row r="1" spans="1:8" ht="21.75" customHeight="1" x14ac:dyDescent="0.3">
      <c r="A1" s="43" t="s">
        <v>93</v>
      </c>
      <c r="B1" s="44"/>
      <c r="C1" s="44"/>
      <c r="D1" s="44"/>
      <c r="E1" s="44"/>
      <c r="F1" s="44"/>
      <c r="G1" s="44"/>
      <c r="H1" s="44"/>
    </row>
    <row r="3" spans="1:8" ht="15" customHeight="1" x14ac:dyDescent="0.3">
      <c r="A3" s="2" t="s">
        <v>94</v>
      </c>
    </row>
    <row r="4" spans="1:8" ht="15" customHeight="1" x14ac:dyDescent="0.3">
      <c r="A4" s="1" t="s">
        <v>2</v>
      </c>
      <c r="B4" s="1" t="s">
        <v>15</v>
      </c>
      <c r="C4" s="1" t="s">
        <v>25</v>
      </c>
    </row>
    <row r="5" spans="1:8" ht="15" customHeight="1" x14ac:dyDescent="0.3">
      <c r="A5" t="s">
        <v>12</v>
      </c>
      <c r="B5">
        <v>3</v>
      </c>
      <c r="C5">
        <v>2</v>
      </c>
    </row>
    <row r="6" spans="1:8" ht="15" customHeight="1" x14ac:dyDescent="0.3">
      <c r="A6" t="s">
        <v>39</v>
      </c>
      <c r="B6">
        <v>3</v>
      </c>
      <c r="C6">
        <v>1</v>
      </c>
    </row>
    <row r="7" spans="1:8" ht="15" customHeight="1" x14ac:dyDescent="0.3">
      <c r="A7" t="s">
        <v>22</v>
      </c>
      <c r="B7">
        <v>1</v>
      </c>
      <c r="C7">
        <v>2</v>
      </c>
    </row>
    <row r="8" spans="1:8" ht="15" customHeight="1" x14ac:dyDescent="0.3">
      <c r="A8" t="s">
        <v>34</v>
      </c>
      <c r="B8">
        <v>1</v>
      </c>
      <c r="C8">
        <v>2</v>
      </c>
    </row>
    <row r="11" spans="1:8" ht="15" customHeight="1" x14ac:dyDescent="0.3">
      <c r="A11" s="3" t="s">
        <v>95</v>
      </c>
    </row>
    <row r="13" spans="1:8" ht="15" customHeight="1" x14ac:dyDescent="0.3">
      <c r="A13" s="4" t="s">
        <v>96</v>
      </c>
      <c r="B13" t="s">
        <v>12</v>
      </c>
    </row>
    <row r="14" spans="1:8" ht="15" customHeight="1" x14ac:dyDescent="0.3">
      <c r="A14" s="4" t="s">
        <v>97</v>
      </c>
      <c r="B14" t="s">
        <v>15</v>
      </c>
    </row>
    <row r="15" spans="1:8" ht="17.25" customHeight="1" x14ac:dyDescent="0.3">
      <c r="A15" s="4" t="s">
        <v>98</v>
      </c>
      <c r="B15">
        <f>INDEX($B$5:$C$8,MATCH(B13,$A$5:$A$8,0),MATCH(B14,$B$4:$C$4,0))</f>
        <v>3</v>
      </c>
    </row>
  </sheetData>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3"/>
  <sheetViews>
    <sheetView zoomScaleNormal="100" workbookViewId="0">
      <selection activeCell="D36" sqref="D36"/>
    </sheetView>
  </sheetViews>
  <sheetFormatPr defaultColWidth="11.5546875" defaultRowHeight="14.4" x14ac:dyDescent="0.3"/>
  <cols>
    <col min="1" max="1" width="12.5546875" bestFit="1" customWidth="1"/>
    <col min="2" max="2" width="19.5546875" bestFit="1" customWidth="1"/>
    <col min="3" max="3" width="21.6640625" bestFit="1" customWidth="1"/>
    <col min="4" max="4" width="19.5546875" bestFit="1" customWidth="1"/>
    <col min="5" max="5" width="21.6640625" bestFit="1" customWidth="1"/>
    <col min="6" max="6" width="24.33203125" bestFit="1" customWidth="1"/>
    <col min="7" max="7" width="26.44140625" bestFit="1" customWidth="1"/>
    <col min="8" max="8" width="15.5546875" bestFit="1" customWidth="1"/>
    <col min="9" max="9" width="19.77734375" bestFit="1" customWidth="1"/>
    <col min="10" max="10" width="21.77734375" bestFit="1" customWidth="1"/>
    <col min="11" max="11" width="19.77734375" bestFit="1" customWidth="1"/>
    <col min="12" max="12" width="21.77734375" bestFit="1" customWidth="1"/>
    <col min="13" max="13" width="24.77734375" bestFit="1" customWidth="1"/>
    <col min="14" max="14" width="27" bestFit="1" customWidth="1"/>
    <col min="15" max="15" width="11.44140625" bestFit="1" customWidth="1"/>
    <col min="16" max="16" width="14.109375" bestFit="1" customWidth="1"/>
    <col min="17" max="17" width="9.88671875" bestFit="1" customWidth="1"/>
    <col min="18" max="19" width="12.109375" bestFit="1" customWidth="1"/>
    <col min="20" max="20" width="10.77734375" bestFit="1" customWidth="1"/>
  </cols>
  <sheetData>
    <row r="1" spans="1:14" ht="13.5" customHeight="1" x14ac:dyDescent="0.3">
      <c r="A1" t="s">
        <v>99</v>
      </c>
    </row>
    <row r="2" spans="1:14" ht="13.5" customHeight="1" x14ac:dyDescent="0.3"/>
    <row r="3" spans="1:14" ht="13.5" customHeight="1" x14ac:dyDescent="0.3">
      <c r="A3" t="s">
        <v>142</v>
      </c>
      <c r="I3" s="37" t="s">
        <v>135</v>
      </c>
    </row>
    <row r="4" spans="1:14" ht="13.5" customHeight="1" x14ac:dyDescent="0.3">
      <c r="I4" t="s">
        <v>15</v>
      </c>
      <c r="K4" t="s">
        <v>25</v>
      </c>
      <c r="M4" t="s">
        <v>137</v>
      </c>
      <c r="N4" t="s">
        <v>138</v>
      </c>
    </row>
    <row r="5" spans="1:14" ht="13.5" customHeight="1" x14ac:dyDescent="0.3">
      <c r="A5" t="s">
        <v>143</v>
      </c>
      <c r="H5" s="37" t="s">
        <v>133</v>
      </c>
      <c r="I5" t="s">
        <v>136</v>
      </c>
      <c r="J5" t="s">
        <v>139</v>
      </c>
      <c r="K5" t="s">
        <v>136</v>
      </c>
      <c r="L5" t="s">
        <v>139</v>
      </c>
    </row>
    <row r="6" spans="1:14" ht="13.5" customHeight="1" thickBot="1" x14ac:dyDescent="0.35">
      <c r="H6" s="9" t="s">
        <v>100</v>
      </c>
      <c r="I6">
        <v>8</v>
      </c>
      <c r="J6">
        <v>63000</v>
      </c>
      <c r="K6">
        <v>7</v>
      </c>
      <c r="L6">
        <v>59000</v>
      </c>
      <c r="M6">
        <v>15</v>
      </c>
      <c r="N6">
        <v>61133.333333333336</v>
      </c>
    </row>
    <row r="7" spans="1:14" ht="13.5" customHeight="1" x14ac:dyDescent="0.3">
      <c r="A7" s="48"/>
      <c r="B7" s="49"/>
      <c r="C7" s="50"/>
      <c r="D7" s="51" t="s">
        <v>7</v>
      </c>
      <c r="E7" s="52"/>
      <c r="F7" s="53"/>
      <c r="H7" s="38" t="s">
        <v>12</v>
      </c>
      <c r="I7">
        <v>3</v>
      </c>
      <c r="J7">
        <v>64666.666666666664</v>
      </c>
      <c r="K7">
        <v>2</v>
      </c>
      <c r="L7">
        <v>59000</v>
      </c>
      <c r="M7">
        <v>5</v>
      </c>
      <c r="N7">
        <v>62400</v>
      </c>
    </row>
    <row r="8" spans="1:14" ht="13.5" customHeight="1" x14ac:dyDescent="0.3">
      <c r="A8" s="54" t="s">
        <v>86</v>
      </c>
      <c r="B8" s="5" t="s">
        <v>2</v>
      </c>
      <c r="C8" s="6" t="s">
        <v>144</v>
      </c>
      <c r="D8" s="55" t="s">
        <v>15</v>
      </c>
      <c r="E8" s="56" t="s">
        <v>25</v>
      </c>
      <c r="F8" s="57" t="s">
        <v>145</v>
      </c>
      <c r="H8" s="38" t="s">
        <v>39</v>
      </c>
      <c r="I8">
        <v>3</v>
      </c>
      <c r="J8">
        <v>61333.333333333336</v>
      </c>
      <c r="K8">
        <v>1</v>
      </c>
      <c r="L8">
        <v>50000</v>
      </c>
      <c r="M8">
        <v>4</v>
      </c>
      <c r="N8">
        <v>58500</v>
      </c>
    </row>
    <row r="9" spans="1:14" ht="13.5" customHeight="1" x14ac:dyDescent="0.3">
      <c r="A9" s="58" t="s">
        <v>100</v>
      </c>
      <c r="B9" s="59"/>
      <c r="C9" s="60"/>
      <c r="D9" s="61"/>
      <c r="E9" s="62"/>
      <c r="F9" s="7"/>
      <c r="H9" s="38" t="s">
        <v>22</v>
      </c>
      <c r="I9">
        <v>1</v>
      </c>
      <c r="J9">
        <v>64000</v>
      </c>
      <c r="K9">
        <v>2</v>
      </c>
      <c r="L9">
        <v>61000</v>
      </c>
      <c r="M9">
        <v>3</v>
      </c>
      <c r="N9">
        <v>62000</v>
      </c>
    </row>
    <row r="10" spans="1:14" ht="13.5" customHeight="1" x14ac:dyDescent="0.3">
      <c r="A10" s="8"/>
      <c r="B10" s="9" t="s">
        <v>12</v>
      </c>
      <c r="C10" s="10"/>
      <c r="D10" s="11"/>
      <c r="E10" s="11"/>
      <c r="F10" s="12"/>
      <c r="H10" s="38" t="s">
        <v>34</v>
      </c>
      <c r="I10">
        <v>1</v>
      </c>
      <c r="J10">
        <v>62000</v>
      </c>
      <c r="K10">
        <v>2</v>
      </c>
      <c r="L10">
        <v>61500</v>
      </c>
      <c r="M10">
        <v>3</v>
      </c>
      <c r="N10">
        <v>61666.666666666664</v>
      </c>
    </row>
    <row r="11" spans="1:14" ht="13.5" customHeight="1" x14ac:dyDescent="0.3">
      <c r="A11" s="8"/>
      <c r="B11" s="9"/>
      <c r="C11" s="10" t="s">
        <v>146</v>
      </c>
      <c r="D11">
        <v>3</v>
      </c>
      <c r="E11">
        <v>2</v>
      </c>
      <c r="F11" s="13">
        <v>5</v>
      </c>
      <c r="H11" s="9" t="s">
        <v>101</v>
      </c>
      <c r="I11">
        <v>1</v>
      </c>
      <c r="J11">
        <v>53000</v>
      </c>
      <c r="K11">
        <v>2</v>
      </c>
      <c r="L11">
        <v>46500</v>
      </c>
      <c r="M11">
        <v>3</v>
      </c>
      <c r="N11">
        <v>48666.666666666664</v>
      </c>
    </row>
    <row r="12" spans="1:14" ht="13.5" customHeight="1" x14ac:dyDescent="0.3">
      <c r="A12" s="8"/>
      <c r="B12" s="9"/>
      <c r="C12" s="10" t="s">
        <v>147</v>
      </c>
      <c r="D12" s="5">
        <v>64666.666666666701</v>
      </c>
      <c r="E12" s="5">
        <v>59000</v>
      </c>
      <c r="F12" s="14">
        <v>62400</v>
      </c>
      <c r="H12" s="38" t="s">
        <v>12</v>
      </c>
      <c r="I12">
        <v>1</v>
      </c>
      <c r="J12">
        <v>53000</v>
      </c>
      <c r="M12">
        <v>1</v>
      </c>
      <c r="N12">
        <v>53000</v>
      </c>
    </row>
    <row r="13" spans="1:14" ht="13.5" customHeight="1" x14ac:dyDescent="0.3">
      <c r="A13" s="8"/>
      <c r="B13" s="9" t="s">
        <v>39</v>
      </c>
      <c r="C13" s="10"/>
      <c r="D13" s="15"/>
      <c r="E13" s="16"/>
      <c r="F13" s="12"/>
      <c r="H13" s="38" t="s">
        <v>22</v>
      </c>
      <c r="K13">
        <v>1</v>
      </c>
      <c r="L13">
        <v>45000</v>
      </c>
      <c r="M13">
        <v>1</v>
      </c>
      <c r="N13">
        <v>45000</v>
      </c>
    </row>
    <row r="14" spans="1:14" ht="13.5" customHeight="1" x14ac:dyDescent="0.3">
      <c r="A14" s="8"/>
      <c r="B14" s="9"/>
      <c r="C14" s="10" t="s">
        <v>146</v>
      </c>
      <c r="D14" s="17">
        <v>3</v>
      </c>
      <c r="E14" s="18">
        <v>1</v>
      </c>
      <c r="F14" s="13">
        <v>4</v>
      </c>
      <c r="H14" s="38" t="s">
        <v>34</v>
      </c>
      <c r="K14">
        <v>1</v>
      </c>
      <c r="L14">
        <v>48000</v>
      </c>
      <c r="M14">
        <v>1</v>
      </c>
      <c r="N14">
        <v>48000</v>
      </c>
    </row>
    <row r="15" spans="1:14" ht="13.5" customHeight="1" x14ac:dyDescent="0.3">
      <c r="A15" s="8"/>
      <c r="B15" s="9"/>
      <c r="C15" s="10" t="s">
        <v>147</v>
      </c>
      <c r="D15" s="19">
        <v>61333.333333333299</v>
      </c>
      <c r="E15" s="6">
        <v>50000</v>
      </c>
      <c r="F15" s="14">
        <v>58500</v>
      </c>
      <c r="H15" s="9" t="s">
        <v>134</v>
      </c>
      <c r="I15">
        <v>9</v>
      </c>
      <c r="J15">
        <v>61888.888888888891</v>
      </c>
      <c r="K15">
        <v>9</v>
      </c>
      <c r="L15">
        <v>56222.222222222219</v>
      </c>
      <c r="M15">
        <v>18</v>
      </c>
      <c r="N15">
        <v>59055.555555555555</v>
      </c>
    </row>
    <row r="16" spans="1:14" ht="13.5" customHeight="1" x14ac:dyDescent="0.3">
      <c r="A16" s="8"/>
      <c r="B16" s="9" t="s">
        <v>22</v>
      </c>
      <c r="C16" s="10"/>
      <c r="D16" s="11"/>
      <c r="E16" s="11"/>
      <c r="F16" s="12"/>
    </row>
    <row r="17" spans="1:6" ht="13.5" customHeight="1" x14ac:dyDescent="0.3">
      <c r="A17" s="8"/>
      <c r="B17" s="9"/>
      <c r="C17" s="10" t="s">
        <v>146</v>
      </c>
      <c r="D17">
        <v>1</v>
      </c>
      <c r="E17">
        <v>2</v>
      </c>
      <c r="F17" s="13">
        <v>3</v>
      </c>
    </row>
    <row r="18" spans="1:6" ht="13.5" customHeight="1" x14ac:dyDescent="0.3">
      <c r="A18" s="8"/>
      <c r="B18" s="9"/>
      <c r="C18" s="10" t="s">
        <v>147</v>
      </c>
      <c r="D18" s="5">
        <v>64000</v>
      </c>
      <c r="E18" s="5">
        <v>61000</v>
      </c>
      <c r="F18" s="14">
        <v>62000</v>
      </c>
    </row>
    <row r="19" spans="1:6" ht="13.5" customHeight="1" x14ac:dyDescent="0.3">
      <c r="A19" s="8"/>
      <c r="B19" s="9" t="s">
        <v>34</v>
      </c>
      <c r="C19" s="10"/>
      <c r="D19" s="15"/>
      <c r="E19" s="16"/>
      <c r="F19" s="12"/>
    </row>
    <row r="20" spans="1:6" ht="13.5" customHeight="1" x14ac:dyDescent="0.3">
      <c r="A20" s="8"/>
      <c r="B20" s="9"/>
      <c r="C20" s="10" t="s">
        <v>146</v>
      </c>
      <c r="D20" s="17">
        <v>1</v>
      </c>
      <c r="E20" s="18">
        <v>2</v>
      </c>
      <c r="F20" s="13">
        <v>3</v>
      </c>
    </row>
    <row r="21" spans="1:6" ht="13.5" customHeight="1" x14ac:dyDescent="0.3">
      <c r="A21" s="8"/>
      <c r="B21" s="9"/>
      <c r="C21" s="10" t="s">
        <v>147</v>
      </c>
      <c r="D21" s="19">
        <v>62000</v>
      </c>
      <c r="E21" s="6">
        <v>61500</v>
      </c>
      <c r="F21" s="14">
        <v>61666.666666666701</v>
      </c>
    </row>
    <row r="22" spans="1:6" ht="13.5" customHeight="1" x14ac:dyDescent="0.3">
      <c r="A22" s="8" t="s">
        <v>101</v>
      </c>
      <c r="B22" s="9"/>
      <c r="C22" s="10"/>
      <c r="D22" s="11"/>
      <c r="E22" s="11"/>
      <c r="F22" s="7"/>
    </row>
    <row r="23" spans="1:6" ht="13.5" customHeight="1" x14ac:dyDescent="0.3">
      <c r="A23" s="8"/>
      <c r="B23" s="9" t="s">
        <v>12</v>
      </c>
      <c r="C23" s="10"/>
      <c r="D23" s="15"/>
      <c r="E23" s="16"/>
      <c r="F23" s="12"/>
    </row>
    <row r="24" spans="1:6" ht="13.5" customHeight="1" x14ac:dyDescent="0.3">
      <c r="A24" s="8"/>
      <c r="B24" s="9"/>
      <c r="C24" s="10" t="s">
        <v>146</v>
      </c>
      <c r="D24" s="17">
        <v>1</v>
      </c>
      <c r="E24" s="18"/>
      <c r="F24" s="13">
        <v>1</v>
      </c>
    </row>
    <row r="25" spans="1:6" ht="13.5" customHeight="1" x14ac:dyDescent="0.3">
      <c r="A25" s="8"/>
      <c r="B25" s="9"/>
      <c r="C25" s="10" t="s">
        <v>147</v>
      </c>
      <c r="D25" s="19">
        <v>53000</v>
      </c>
      <c r="E25" s="6"/>
      <c r="F25" s="14">
        <v>53000</v>
      </c>
    </row>
    <row r="26" spans="1:6" ht="13.5" customHeight="1" x14ac:dyDescent="0.3">
      <c r="A26" s="8"/>
      <c r="B26" s="9" t="s">
        <v>22</v>
      </c>
      <c r="C26" s="10"/>
      <c r="D26" s="11"/>
      <c r="E26" s="11"/>
      <c r="F26" s="12"/>
    </row>
    <row r="27" spans="1:6" ht="13.5" customHeight="1" x14ac:dyDescent="0.3">
      <c r="A27" s="8"/>
      <c r="B27" s="9"/>
      <c r="C27" s="10" t="s">
        <v>146</v>
      </c>
      <c r="E27">
        <v>1</v>
      </c>
      <c r="F27" s="13">
        <v>1</v>
      </c>
    </row>
    <row r="28" spans="1:6" ht="13.5" customHeight="1" x14ac:dyDescent="0.3">
      <c r="A28" s="8"/>
      <c r="B28" s="9"/>
      <c r="C28" s="10" t="s">
        <v>147</v>
      </c>
      <c r="D28" s="5"/>
      <c r="E28" s="5">
        <v>45000</v>
      </c>
      <c r="F28" s="14">
        <v>45000</v>
      </c>
    </row>
    <row r="29" spans="1:6" ht="13.5" customHeight="1" x14ac:dyDescent="0.3">
      <c r="A29" s="8"/>
      <c r="B29" s="9" t="s">
        <v>34</v>
      </c>
      <c r="C29" s="10"/>
      <c r="D29" s="15"/>
      <c r="E29" s="16"/>
      <c r="F29" s="12"/>
    </row>
    <row r="30" spans="1:6" ht="13.5" customHeight="1" x14ac:dyDescent="0.3">
      <c r="A30" s="8"/>
      <c r="B30" s="9"/>
      <c r="C30" s="10" t="s">
        <v>146</v>
      </c>
      <c r="D30" s="17"/>
      <c r="E30" s="18">
        <v>1</v>
      </c>
      <c r="F30" s="13">
        <v>1</v>
      </c>
    </row>
    <row r="31" spans="1:6" ht="13.5" customHeight="1" x14ac:dyDescent="0.3">
      <c r="A31" s="8"/>
      <c r="B31" s="9"/>
      <c r="C31" s="10" t="s">
        <v>147</v>
      </c>
      <c r="D31" s="19"/>
      <c r="E31" s="6">
        <v>48000</v>
      </c>
      <c r="F31" s="14">
        <v>48000</v>
      </c>
    </row>
    <row r="32" spans="1:6" ht="13.5" customHeight="1" x14ac:dyDescent="0.3">
      <c r="A32" s="20" t="s">
        <v>148</v>
      </c>
      <c r="B32" s="21"/>
      <c r="C32" s="22"/>
      <c r="D32" s="23">
        <v>9</v>
      </c>
      <c r="E32" s="23">
        <v>9</v>
      </c>
      <c r="F32" s="7">
        <v>18</v>
      </c>
    </row>
    <row r="33" spans="1:6" ht="13.5" customHeight="1" thickBot="1" x14ac:dyDescent="0.35">
      <c r="A33" s="24" t="s">
        <v>149</v>
      </c>
      <c r="B33" s="25"/>
      <c r="C33" s="26"/>
      <c r="D33" s="27">
        <v>61888.888888888898</v>
      </c>
      <c r="E33" s="28">
        <v>56222.222222222197</v>
      </c>
      <c r="F33" s="29">
        <v>59055.555555555598</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
  <sheetViews>
    <sheetView zoomScaleNormal="100" workbookViewId="0">
      <selection activeCell="B19" sqref="B19"/>
    </sheetView>
  </sheetViews>
  <sheetFormatPr defaultColWidth="8.6640625" defaultRowHeight="14.4" x14ac:dyDescent="0.3"/>
  <cols>
    <col min="1" max="1" width="37.21875" customWidth="1"/>
    <col min="2" max="2" width="18" customWidth="1"/>
    <col min="3" max="3" width="26" customWidth="1"/>
    <col min="4" max="4" width="14" customWidth="1"/>
  </cols>
  <sheetData>
    <row r="1" spans="1:6" ht="31.5" customHeight="1" x14ac:dyDescent="0.3">
      <c r="A1" s="46" t="s">
        <v>102</v>
      </c>
      <c r="B1" s="44"/>
      <c r="C1" s="44"/>
      <c r="D1" s="44"/>
      <c r="E1" s="44"/>
      <c r="F1" s="44"/>
    </row>
    <row r="3" spans="1:6" ht="15" customHeight="1" x14ac:dyDescent="0.3">
      <c r="A3" s="45" t="s">
        <v>103</v>
      </c>
      <c r="B3" s="44"/>
      <c r="C3" s="44"/>
      <c r="D3" s="44"/>
      <c r="E3" s="44"/>
      <c r="F3" s="44"/>
    </row>
    <row r="5" spans="1:6" ht="15" customHeight="1" x14ac:dyDescent="0.3">
      <c r="A5" s="1" t="s">
        <v>2</v>
      </c>
      <c r="B5" s="1" t="s">
        <v>104</v>
      </c>
      <c r="C5" s="1" t="s">
        <v>105</v>
      </c>
      <c r="D5" s="1" t="s">
        <v>106</v>
      </c>
    </row>
    <row r="6" spans="1:6" ht="15" customHeight="1" x14ac:dyDescent="0.3">
      <c r="A6" t="s">
        <v>12</v>
      </c>
      <c r="B6">
        <f>COUNTIFS('Sheet3 - Q2 Answer'!$C$4:$C$21,A6,'Sheet3 - Q2 Answer'!$F$4:$F$21,"Active")</f>
        <v>5</v>
      </c>
      <c r="C6" s="39">
        <f>B6/SUMPRODUCT($B$6:$B$9)</f>
        <v>0.33333333333333331</v>
      </c>
      <c r="D6" s="30">
        <f>AVERAGEIFS('Sheet3 - Q2 Answer'!$E$4:$E$21,'Sheet3 - Q2 Answer'!$C$4:$C$21,A6,'Sheet3 - Q2 Answer'!$F$4:$F$21,"Active")</f>
        <v>62400</v>
      </c>
    </row>
    <row r="7" spans="1:6" ht="15" customHeight="1" x14ac:dyDescent="0.3">
      <c r="A7" t="s">
        <v>39</v>
      </c>
      <c r="B7">
        <f>COUNTIFS('Sheet3 - Q2 Answer'!$C$4:$C$21,A7,'Sheet3 - Q2 Answer'!$F$4:$F$21,"Active")</f>
        <v>4</v>
      </c>
      <c r="C7" s="39">
        <f t="shared" ref="C7:C9" si="0">B7/SUMPRODUCT($B$6:$B$9)</f>
        <v>0.26666666666666666</v>
      </c>
      <c r="D7" s="30">
        <f>AVERAGEIFS('Sheet3 - Q2 Answer'!$E$4:$E$21,'Sheet3 - Q2 Answer'!$C$4:$C$21,A7,'Sheet3 - Q2 Answer'!$F$4:$F$21,"Active")</f>
        <v>58500</v>
      </c>
    </row>
    <row r="8" spans="1:6" ht="15" customHeight="1" x14ac:dyDescent="0.3">
      <c r="A8" t="s">
        <v>22</v>
      </c>
      <c r="B8">
        <f>COUNTIFS('Sheet3 - Q2 Answer'!$C$4:$C$21,A8,'Sheet3 - Q2 Answer'!$F$4:$F$21,"Active")</f>
        <v>3</v>
      </c>
      <c r="C8" s="39">
        <f t="shared" si="0"/>
        <v>0.2</v>
      </c>
      <c r="D8" s="30">
        <f>AVERAGEIFS('Sheet3 - Q2 Answer'!$E$4:$E$21,'Sheet3 - Q2 Answer'!$C$4:$C$21,A8,'Sheet3 - Q2 Answer'!$F$4:$F$21,"Active")</f>
        <v>62000</v>
      </c>
    </row>
    <row r="9" spans="1:6" ht="15" customHeight="1" x14ac:dyDescent="0.3">
      <c r="A9" t="s">
        <v>34</v>
      </c>
      <c r="B9">
        <f>COUNTIFS('Sheet3 - Q2 Answer'!$C$4:$C$21,A9,'Sheet3 - Q2 Answer'!$F$4:$F$21,"Active")</f>
        <v>3</v>
      </c>
      <c r="C9" s="39">
        <f t="shared" si="0"/>
        <v>0.2</v>
      </c>
      <c r="D9" s="30">
        <f>AVERAGEIFS('Sheet3 - Q2 Answer'!$E$4:$E$21,'Sheet3 - Q2 Answer'!$C$4:$C$21,A9,'Sheet3 - Q2 Answer'!$F$4:$F$21,"Active")</f>
        <v>61666.666666666664</v>
      </c>
    </row>
    <row r="11" spans="1:6" ht="15" customHeight="1" x14ac:dyDescent="0.3">
      <c r="A11" s="2" t="s">
        <v>107</v>
      </c>
    </row>
    <row r="13" spans="1:6" ht="15" customHeight="1" x14ac:dyDescent="0.3">
      <c r="A13" s="4" t="s">
        <v>108</v>
      </c>
      <c r="B13" s="30">
        <f>MAX(D6:D9)</f>
        <v>62400</v>
      </c>
      <c r="C13" s="30"/>
    </row>
    <row r="14" spans="1:6" ht="15" customHeight="1" x14ac:dyDescent="0.3">
      <c r="A14" s="4" t="s">
        <v>109</v>
      </c>
      <c r="B14" s="30">
        <f>MIN(D6:D9)</f>
        <v>58500</v>
      </c>
      <c r="C14" s="30"/>
    </row>
    <row r="15" spans="1:6" ht="15.75" customHeight="1" x14ac:dyDescent="0.3">
      <c r="A15" s="4" t="s">
        <v>110</v>
      </c>
      <c r="B15" s="31">
        <f>B13-B14</f>
        <v>3900</v>
      </c>
      <c r="C15" s="30"/>
    </row>
  </sheetData>
  <mergeCells count="2">
    <mergeCell ref="A3:F3"/>
    <mergeCell ref="A1:F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9"/>
  <sheetViews>
    <sheetView tabSelected="1" zoomScaleNormal="100" workbookViewId="0">
      <selection activeCell="C4" sqref="C4"/>
    </sheetView>
  </sheetViews>
  <sheetFormatPr defaultColWidth="11.5546875" defaultRowHeight="14.4" x14ac:dyDescent="0.3"/>
  <sheetData>
    <row r="1" spans="1:2" ht="13.5" customHeight="1" x14ac:dyDescent="0.3">
      <c r="A1" t="s">
        <v>111</v>
      </c>
    </row>
    <row r="2" spans="1:2" ht="13.5" customHeight="1" x14ac:dyDescent="0.3"/>
    <row r="3" spans="1:2" ht="13.5" customHeight="1" x14ac:dyDescent="0.3">
      <c r="A3" t="s">
        <v>2</v>
      </c>
      <c r="B3" t="s">
        <v>104</v>
      </c>
    </row>
    <row r="4" spans="1:2" ht="13.5" customHeight="1" x14ac:dyDescent="0.3">
      <c r="A4" t="s">
        <v>12</v>
      </c>
      <c r="B4">
        <v>5</v>
      </c>
    </row>
    <row r="5" spans="1:2" ht="13.5" customHeight="1" x14ac:dyDescent="0.3">
      <c r="A5" t="s">
        <v>39</v>
      </c>
      <c r="B5">
        <v>4</v>
      </c>
    </row>
    <row r="6" spans="1:2" ht="13.5" customHeight="1" x14ac:dyDescent="0.3">
      <c r="A6" t="s">
        <v>22</v>
      </c>
      <c r="B6">
        <v>3</v>
      </c>
    </row>
    <row r="7" spans="1:2" ht="13.5" customHeight="1" x14ac:dyDescent="0.3">
      <c r="A7" t="s">
        <v>34</v>
      </c>
      <c r="B7">
        <v>3</v>
      </c>
    </row>
    <row r="8" spans="1:2" ht="13.5" customHeight="1" x14ac:dyDescent="0.3"/>
    <row r="9" spans="1:2" ht="13.5" customHeight="1" x14ac:dyDescent="0.3"/>
    <row r="10" spans="1:2" ht="13.5" customHeight="1" x14ac:dyDescent="0.3"/>
    <row r="11" spans="1:2" ht="13.5" customHeight="1" x14ac:dyDescent="0.3"/>
    <row r="12" spans="1:2" ht="13.5" customHeight="1" x14ac:dyDescent="0.3"/>
    <row r="13" spans="1:2" ht="13.5" customHeight="1" x14ac:dyDescent="0.3"/>
    <row r="14" spans="1:2" ht="13.5" customHeight="1" x14ac:dyDescent="0.3"/>
    <row r="15" spans="1:2" ht="13.5" customHeight="1" x14ac:dyDescent="0.3"/>
    <row r="16" spans="1:2" ht="13.5" customHeight="1" x14ac:dyDescent="0.3"/>
    <row r="17" ht="13.5" customHeight="1" x14ac:dyDescent="0.3"/>
    <row r="18" ht="13.5" customHeight="1" x14ac:dyDescent="0.3"/>
    <row r="19" ht="13.5" customHeight="1" x14ac:dyDescent="0.3"/>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
  <sheetViews>
    <sheetView topLeftCell="A8" zoomScaleNormal="100" workbookViewId="0">
      <selection activeCell="B14" sqref="B14"/>
    </sheetView>
  </sheetViews>
  <sheetFormatPr defaultColWidth="8.6640625" defaultRowHeight="14.4" x14ac:dyDescent="0.3"/>
  <cols>
    <col min="1" max="1" width="26" customWidth="1"/>
    <col min="2" max="2" width="24" customWidth="1"/>
    <col min="3" max="5" width="10" customWidth="1"/>
  </cols>
  <sheetData>
    <row r="1" spans="1:5" ht="21.75" customHeight="1" x14ac:dyDescent="0.3">
      <c r="A1" s="46" t="s">
        <v>112</v>
      </c>
      <c r="B1" s="44"/>
      <c r="C1" s="44"/>
      <c r="D1" s="44"/>
      <c r="E1" s="44"/>
    </row>
    <row r="3" spans="1:5" ht="15" customHeight="1" x14ac:dyDescent="0.3">
      <c r="A3" s="32" t="s">
        <v>113</v>
      </c>
    </row>
    <row r="4" spans="1:5" ht="54.75" customHeight="1" x14ac:dyDescent="0.3">
      <c r="A4" s="47" t="s">
        <v>114</v>
      </c>
      <c r="B4" s="44"/>
      <c r="C4" s="44"/>
      <c r="D4" s="44"/>
      <c r="E4" s="44"/>
    </row>
    <row r="5" spans="1:5" ht="15" customHeight="1" x14ac:dyDescent="0.3">
      <c r="A5" s="44"/>
      <c r="B5" s="44"/>
      <c r="C5" s="44"/>
      <c r="D5" s="44"/>
      <c r="E5" s="44"/>
    </row>
    <row r="6" spans="1:5" ht="15" customHeight="1" x14ac:dyDescent="0.3">
      <c r="A6" s="44"/>
      <c r="B6" s="44"/>
      <c r="C6" s="44"/>
      <c r="D6" s="44"/>
      <c r="E6" s="44"/>
    </row>
    <row r="9" spans="1:5" ht="15" customHeight="1" x14ac:dyDescent="0.3">
      <c r="A9" s="33" t="s">
        <v>115</v>
      </c>
    </row>
    <row r="11" spans="1:5" ht="15" customHeight="1" x14ac:dyDescent="0.3">
      <c r="A11" s="1" t="s">
        <v>116</v>
      </c>
      <c r="B11" s="1" t="s">
        <v>117</v>
      </c>
    </row>
    <row r="12" spans="1:5" ht="15" customHeight="1" x14ac:dyDescent="0.3">
      <c r="A12" t="s">
        <v>118</v>
      </c>
      <c r="B12">
        <f>COUNTIFS('Sheet3 - Q2 Answer'!$D$4:$D$21,"North",'Sheet3 - Q2 Answer'!$F$4:$F$21,"Active")</f>
        <v>8</v>
      </c>
    </row>
    <row r="13" spans="1:5" ht="15" customHeight="1" x14ac:dyDescent="0.3">
      <c r="A13" t="s">
        <v>119</v>
      </c>
      <c r="B13">
        <f>COUNTIFS('Sheet3 - Q2 Answer'!$D$4:$D$21,"South",'Sheet3 - Q2 Answer'!$F$4:$F$21,"Active")</f>
        <v>7</v>
      </c>
    </row>
    <row r="14" spans="1:5" ht="15" customHeight="1" x14ac:dyDescent="0.3">
      <c r="A14" t="s">
        <v>120</v>
      </c>
      <c r="B14">
        <f>COUNTIF('Sheet3 - Q2 Answer'!$F$4:$F$21,"Active")</f>
        <v>15</v>
      </c>
    </row>
  </sheetData>
  <mergeCells count="2">
    <mergeCell ref="A1:E1"/>
    <mergeCell ref="A4:E6"/>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4"/>
  <sheetViews>
    <sheetView topLeftCell="C1" zoomScale="47" zoomScaleNormal="100" workbookViewId="0">
      <selection activeCell="T34" sqref="T34"/>
    </sheetView>
  </sheetViews>
  <sheetFormatPr defaultColWidth="11.5546875" defaultRowHeight="14.4" x14ac:dyDescent="0.3"/>
  <cols>
    <col min="1" max="1" width="16.44140625" bestFit="1" customWidth="1"/>
    <col min="2" max="2" width="21.33203125" bestFit="1" customWidth="1"/>
    <col min="3" max="3" width="23" bestFit="1" customWidth="1"/>
    <col min="4" max="4" width="21.33203125" bestFit="1" customWidth="1"/>
    <col min="5" max="5" width="23" bestFit="1" customWidth="1"/>
    <col min="6" max="6" width="26.33203125" bestFit="1" customWidth="1"/>
    <col min="7" max="7" width="28" bestFit="1" customWidth="1"/>
  </cols>
  <sheetData>
    <row r="1" spans="1:13" ht="13.5" customHeight="1" x14ac:dyDescent="0.3">
      <c r="A1" t="s">
        <v>121</v>
      </c>
    </row>
    <row r="2" spans="1:13" ht="13.5" customHeight="1" x14ac:dyDescent="0.3"/>
    <row r="3" spans="1:13" ht="13.5" customHeight="1" x14ac:dyDescent="0.3">
      <c r="A3" t="s">
        <v>122</v>
      </c>
      <c r="D3" t="s">
        <v>123</v>
      </c>
      <c r="G3" t="s">
        <v>124</v>
      </c>
      <c r="J3" t="s">
        <v>125</v>
      </c>
      <c r="M3" t="s">
        <v>126</v>
      </c>
    </row>
    <row r="4" spans="1:13" ht="13.5" customHeight="1" x14ac:dyDescent="0.3">
      <c r="A4">
        <f>COUNTIF('Sheet3 - Q2 Answer'!F4:F21,"Active")</f>
        <v>15</v>
      </c>
      <c r="D4">
        <f>COUNTIF('Sheet3 - Q2 Answer'!F4:F21,"Exited")</f>
        <v>3</v>
      </c>
      <c r="G4" s="40">
        <f>D4/(A4+D4)</f>
        <v>0.16666666666666666</v>
      </c>
      <c r="J4" s="42">
        <f>AVERAGEIFS('Sheet3 - Q2 Answer'!E4:E21,'Sheet3 - Q2 Answer'!F4:F21,"Active")</f>
        <v>61133.333333333336</v>
      </c>
      <c r="M4">
        <f>COUNTIFS('Sheet3 - Q2 Answer'!C4:C21,"Engineering",'Sheet3 - Q2 Answer'!F4:F21,"Active")</f>
        <v>5</v>
      </c>
    </row>
    <row r="5" spans="1:13" ht="13.5" customHeight="1" x14ac:dyDescent="0.3">
      <c r="G5" s="39"/>
      <c r="M5" s="41"/>
    </row>
    <row r="6" spans="1:13" ht="13.5" customHeight="1" x14ac:dyDescent="0.3"/>
    <row r="7" spans="1:13" ht="13.5" customHeight="1" x14ac:dyDescent="0.3">
      <c r="A7" t="s">
        <v>7</v>
      </c>
      <c r="B7" t="s">
        <v>104</v>
      </c>
    </row>
    <row r="8" spans="1:13" ht="13.5" customHeight="1" x14ac:dyDescent="0.3">
      <c r="A8" t="s">
        <v>15</v>
      </c>
      <c r="B8">
        <f>COUNTIFS('Sheet3 - Q2 Answer'!D4:D21,"North",'Sheet3 - Q2 Answer'!F4:F21,"Active")</f>
        <v>8</v>
      </c>
    </row>
    <row r="9" spans="1:13" ht="13.5" customHeight="1" x14ac:dyDescent="0.3">
      <c r="A9" t="s">
        <v>25</v>
      </c>
      <c r="B9">
        <f>COUNTIFS('Sheet3 - Q2 Answer'!D4:D21,"South",'Sheet3 - Q2 Answer'!F4:F21,"Active")</f>
        <v>7</v>
      </c>
    </row>
    <row r="10" spans="1:13" ht="13.5" customHeight="1" x14ac:dyDescent="0.3"/>
    <row r="11" spans="1:13" ht="13.5" customHeight="1" x14ac:dyDescent="0.3"/>
    <row r="12" spans="1:13" ht="13.5" customHeight="1" x14ac:dyDescent="0.3">
      <c r="A12" t="s">
        <v>127</v>
      </c>
    </row>
    <row r="13" spans="1:13" ht="13.5" customHeight="1" x14ac:dyDescent="0.3"/>
    <row r="14" spans="1:13" ht="13.5" customHeight="1" x14ac:dyDescent="0.3">
      <c r="A14" t="s">
        <v>128</v>
      </c>
    </row>
    <row r="15" spans="1:13" ht="13.5" customHeight="1" x14ac:dyDescent="0.3"/>
    <row r="16" spans="1:13" ht="13.5" customHeight="1" x14ac:dyDescent="0.3">
      <c r="A16" t="s">
        <v>129</v>
      </c>
      <c r="B16">
        <f>M4</f>
        <v>5</v>
      </c>
    </row>
    <row r="17" spans="1:7" ht="13.5" customHeight="1" x14ac:dyDescent="0.3">
      <c r="A17" t="s">
        <v>130</v>
      </c>
      <c r="B17">
        <v>8</v>
      </c>
    </row>
    <row r="18" spans="1:7" ht="13.5" customHeight="1" x14ac:dyDescent="0.3">
      <c r="A18" t="s">
        <v>131</v>
      </c>
      <c r="B18">
        <v>3</v>
      </c>
    </row>
    <row r="19" spans="1:7" ht="13.5" customHeight="1" x14ac:dyDescent="0.3">
      <c r="A19" t="s">
        <v>140</v>
      </c>
      <c r="B19">
        <f>B16+B18</f>
        <v>8</v>
      </c>
    </row>
    <row r="20" spans="1:7" ht="13.5" customHeight="1" x14ac:dyDescent="0.3"/>
    <row r="22" spans="1:7" x14ac:dyDescent="0.3">
      <c r="B22" s="37" t="s">
        <v>135</v>
      </c>
    </row>
    <row r="23" spans="1:7" x14ac:dyDescent="0.3">
      <c r="B23" t="s">
        <v>15</v>
      </c>
      <c r="D23" t="s">
        <v>25</v>
      </c>
      <c r="F23" t="s">
        <v>137</v>
      </c>
      <c r="G23" t="s">
        <v>138</v>
      </c>
    </row>
    <row r="24" spans="1:7" x14ac:dyDescent="0.3">
      <c r="A24" s="37" t="s">
        <v>133</v>
      </c>
      <c r="B24" t="s">
        <v>136</v>
      </c>
      <c r="C24" t="s">
        <v>139</v>
      </c>
      <c r="D24" t="s">
        <v>136</v>
      </c>
      <c r="E24" t="s">
        <v>139</v>
      </c>
    </row>
    <row r="25" spans="1:7" x14ac:dyDescent="0.3">
      <c r="A25" s="9" t="s">
        <v>100</v>
      </c>
      <c r="B25">
        <v>8</v>
      </c>
      <c r="C25">
        <v>63000</v>
      </c>
      <c r="D25">
        <v>7</v>
      </c>
      <c r="E25">
        <v>59000</v>
      </c>
      <c r="F25">
        <v>15</v>
      </c>
      <c r="G25">
        <v>61133.333333333336</v>
      </c>
    </row>
    <row r="26" spans="1:7" x14ac:dyDescent="0.3">
      <c r="A26" s="38" t="s">
        <v>12</v>
      </c>
      <c r="B26">
        <v>3</v>
      </c>
      <c r="C26">
        <v>64666.666666666664</v>
      </c>
      <c r="D26">
        <v>2</v>
      </c>
      <c r="E26">
        <v>59000</v>
      </c>
      <c r="F26">
        <v>5</v>
      </c>
      <c r="G26">
        <v>62400</v>
      </c>
    </row>
    <row r="27" spans="1:7" x14ac:dyDescent="0.3">
      <c r="A27" s="38" t="s">
        <v>39</v>
      </c>
      <c r="B27">
        <v>3</v>
      </c>
      <c r="C27">
        <v>61333.333333333336</v>
      </c>
      <c r="D27">
        <v>1</v>
      </c>
      <c r="E27">
        <v>50000</v>
      </c>
      <c r="F27">
        <v>4</v>
      </c>
      <c r="G27">
        <v>58500</v>
      </c>
    </row>
    <row r="28" spans="1:7" x14ac:dyDescent="0.3">
      <c r="A28" s="38" t="s">
        <v>22</v>
      </c>
      <c r="B28">
        <v>1</v>
      </c>
      <c r="C28">
        <v>64000</v>
      </c>
      <c r="D28">
        <v>2</v>
      </c>
      <c r="E28">
        <v>61000</v>
      </c>
      <c r="F28">
        <v>3</v>
      </c>
      <c r="G28">
        <v>62000</v>
      </c>
    </row>
    <row r="29" spans="1:7" x14ac:dyDescent="0.3">
      <c r="A29" s="38" t="s">
        <v>34</v>
      </c>
      <c r="B29">
        <v>1</v>
      </c>
      <c r="C29">
        <v>62000</v>
      </c>
      <c r="D29">
        <v>2</v>
      </c>
      <c r="E29">
        <v>61500</v>
      </c>
      <c r="F29">
        <v>3</v>
      </c>
      <c r="G29">
        <v>61666.666666666664</v>
      </c>
    </row>
    <row r="30" spans="1:7" x14ac:dyDescent="0.3">
      <c r="A30" s="9" t="s">
        <v>101</v>
      </c>
      <c r="B30">
        <v>1</v>
      </c>
      <c r="C30">
        <v>53000</v>
      </c>
      <c r="D30">
        <v>2</v>
      </c>
      <c r="E30">
        <v>46500</v>
      </c>
      <c r="F30">
        <v>3</v>
      </c>
      <c r="G30">
        <v>48666.666666666664</v>
      </c>
    </row>
    <row r="31" spans="1:7" x14ac:dyDescent="0.3">
      <c r="A31" s="38" t="s">
        <v>12</v>
      </c>
      <c r="B31">
        <v>1</v>
      </c>
      <c r="C31">
        <v>53000</v>
      </c>
      <c r="F31">
        <v>1</v>
      </c>
      <c r="G31">
        <v>53000</v>
      </c>
    </row>
    <row r="32" spans="1:7" x14ac:dyDescent="0.3">
      <c r="A32" s="38" t="s">
        <v>22</v>
      </c>
      <c r="D32">
        <v>1</v>
      </c>
      <c r="E32">
        <v>45000</v>
      </c>
      <c r="F32">
        <v>1</v>
      </c>
      <c r="G32">
        <v>45000</v>
      </c>
    </row>
    <row r="33" spans="1:7" x14ac:dyDescent="0.3">
      <c r="A33" s="38" t="s">
        <v>34</v>
      </c>
      <c r="D33">
        <v>1</v>
      </c>
      <c r="E33">
        <v>48000</v>
      </c>
      <c r="F33">
        <v>1</v>
      </c>
      <c r="G33">
        <v>48000</v>
      </c>
    </row>
    <row r="34" spans="1:7" x14ac:dyDescent="0.3">
      <c r="A34" s="9" t="s">
        <v>134</v>
      </c>
      <c r="B34">
        <v>9</v>
      </c>
      <c r="C34">
        <v>61888.888888888891</v>
      </c>
      <c r="D34">
        <v>9</v>
      </c>
      <c r="E34">
        <v>56222.222222222219</v>
      </c>
      <c r="F34">
        <v>18</v>
      </c>
      <c r="G34">
        <v>59055.555555555555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Sheet1 - Dataset</vt:lpstr>
      <vt:lpstr>Sheet2 - Q1 Answer</vt:lpstr>
      <vt:lpstr>Sheet3 - Q2 Answer</vt:lpstr>
      <vt:lpstr>Sheet4 - Q3 Answer</vt:lpstr>
      <vt:lpstr>Sheet5 - Q4 Answer</vt:lpstr>
      <vt:lpstr>Sheet6 - Q5 Answer</vt:lpstr>
      <vt:lpstr>Sheet7 - Q6 Answer</vt:lpstr>
      <vt:lpstr>Sheet8 - Q7 Answer</vt:lpstr>
      <vt:lpstr>Sheet9 - Q8 Answer</vt:lpstr>
      <vt:lpstr>Sheet10 - Q9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Mirthul S</cp:lastModifiedBy>
  <cp:revision>9</cp:revision>
  <dcterms:created xsi:type="dcterms:W3CDTF">2026-09-11T10:36:50Z</dcterms:created>
  <dcterms:modified xsi:type="dcterms:W3CDTF">2026-10-16T08:24:07Z</dcterms:modified>
  <dc:language>en-US</dc:language>
</cp:coreProperties>
</file>